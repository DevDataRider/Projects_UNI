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 pc\Desktop\PROY\BATABASE\"/>
    </mc:Choice>
  </mc:AlternateContent>
  <xr:revisionPtr revIDLastSave="0" documentId="13_ncr:1_{C3F63F04-C10B-4BC2-B8A6-01699C1B66BA}" xr6:coauthVersionLast="47" xr6:coauthVersionMax="47" xr10:uidLastSave="{00000000-0000-0000-0000-000000000000}"/>
  <bookViews>
    <workbookView xWindow="-120" yWindow="-120" windowWidth="20730" windowHeight="11760" activeTab="1" xr2:uid="{26F5FF8D-74C9-4C14-9A71-5F7B2A16A070}"/>
  </bookViews>
  <sheets>
    <sheet name="TD" sheetId="1" r:id="rId1"/>
    <sheet name="Dashboard" sheetId="2" r:id="rId2"/>
  </sheets>
  <definedNames>
    <definedName name="SegmentaciónDeDatos_Categoria">#N/A</definedName>
    <definedName name="SegmentaciónDeDatos_Mes">#N/A</definedName>
    <definedName name="SegmentaciónDeDatos_Semana">#N/A</definedName>
    <definedName name="SegmentaciónDeDatos_Vendedor">#N/A</definedName>
  </definedNames>
  <calcPr calcId="191029"/>
  <pivotCaches>
    <pivotCache cacheId="662" r:id="rId3"/>
    <pivotCache cacheId="665" r:id="rId4"/>
    <pivotCache cacheId="668" r:id="rId5"/>
    <pivotCache cacheId="674" r:id="rId6"/>
    <pivotCache cacheId="677" r:id="rId7"/>
  </pivotCaches>
  <extLst>
    <ext xmlns:x14="http://schemas.microsoft.com/office/spreadsheetml/2009/9/main" uri="{876F7934-8845-4945-9796-88D515C7AA90}">
      <x14:pivotCaches>
        <pivotCache cacheId="661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44462-3B03-4299-826B-CBAE5060EA42}" odcFile="C:\Users\christian pc\Documents\Mis archivos de origen de datos\. Cubo Datamart BiciMundo Cubo BiciMundo Data Mart.odc" keepAlive="1" name=". Cubo Datamart BiciMundo Cubo BiciMundo Data Mart" type="5" refreshedVersion="8" background="1">
    <dbPr connection="Provider=MSOLAP.8;Integrated Security=SSPI;Persist Security Info=True;Initial Catalog=Cubo Datamart BiciMundo;Data Source=.;MDX Compatibility=1;Safety Options=2;MDX Missing Member Mode=Error;Update Isolation Level=2" command="Cubo BiciMundo Data Mart" commandType="1"/>
    <olapPr sendLocale="1" rowDrillCount="1000"/>
  </connection>
  <connection id="2" xr16:uid="{CC756447-316B-431E-B031-DAFF4B99DE5C}" odcFile="C:\Users\christian pc\Documents\Mis archivos de origen de datos\. Cubo Datamart BiciMundo Cubo BiciMundo Data Mart.odc" keepAlive="1" name=". Cubo Datamart BiciMundo Cubo BiciMundo Data Mart1" type="5" refreshedVersion="8" background="1">
    <dbPr connection="Provider=MSOLAP.8;Integrated Security=SSPI;Persist Security Info=True;Initial Catalog=Cubo Datamart BiciMundo;Data Source=.;MDX Compatibility=1;Safety Options=2;MDX Missing Member Mode=Error;Update Isolation Level=2" command="Cubo BiciMundo Data Mart" commandType="1"/>
    <olapPr sendLocale="1" rowDrillCount="1000"/>
  </connection>
</connections>
</file>

<file path=xl/sharedStrings.xml><?xml version="1.0" encoding="utf-8"?>
<sst xmlns="http://schemas.openxmlformats.org/spreadsheetml/2006/main" count="33" uniqueCount="22">
  <si>
    <t>Monto Total</t>
  </si>
  <si>
    <t>Etiquetas de fila</t>
  </si>
  <si>
    <t>Total general</t>
  </si>
  <si>
    <t>Abril</t>
  </si>
  <si>
    <t>Junio</t>
  </si>
  <si>
    <t>Julio</t>
  </si>
  <si>
    <t>Tienda Ancón</t>
  </si>
  <si>
    <t>Tienda Ate</t>
  </si>
  <si>
    <t>Tienda Barranco</t>
  </si>
  <si>
    <t>Tienda Breña</t>
  </si>
  <si>
    <t>Tienda Carabayllo</t>
  </si>
  <si>
    <t>Tienda Chaclacayo</t>
  </si>
  <si>
    <t>Tienda Chorrillos</t>
  </si>
  <si>
    <t>Tienda Cieneguilla</t>
  </si>
  <si>
    <t>Tienda Comas</t>
  </si>
  <si>
    <t>Tienda El Agustino</t>
  </si>
  <si>
    <t>Bicicleta de ruta</t>
  </si>
  <si>
    <t>Bicicleta eléctrica urbana</t>
  </si>
  <si>
    <t>Adrián Hidalgo</t>
  </si>
  <si>
    <t>Carlos Mendoza</t>
  </si>
  <si>
    <t>Ricardo Ramírez</t>
  </si>
  <si>
    <t>Recuentos únicos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</si>
</sst>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mil&quot;"/>
  </numFmts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D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3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[Dashboard_BiciMundo.xlsx]TD!TablaDinámica1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Pedidos</a:t>
            </a:r>
            <a:r>
              <a:rPr lang="en-US" b="1" baseline="0"/>
              <a:t> por Sucursal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D-4475-9B0C-B881D9FAB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D-4475-9B0C-B881D9FAB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D-4475-9B0C-B881D9FAB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D-4475-9B0C-B881D9FAB8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CD-4475-9B0C-B881D9FAB8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CD-4475-9B0C-B881D9FAB8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6CD-4475-9B0C-B881D9FAB8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6CD-4475-9B0C-B881D9FAB8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6CD-4475-9B0C-B881D9FAB8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6CD-4475-9B0C-B881D9FAB8D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TD!$A$2:$A$12</c:f>
              <c:strCache>
                <c:ptCount val="10"/>
                <c:pt idx="0">
                  <c:v>Tienda Ancón</c:v>
                </c:pt>
                <c:pt idx="1">
                  <c:v>Tienda Ate</c:v>
                </c:pt>
                <c:pt idx="2">
                  <c:v>Tienda Barranco</c:v>
                </c:pt>
                <c:pt idx="3">
                  <c:v>Tienda Breña</c:v>
                </c:pt>
                <c:pt idx="4">
                  <c:v>Tienda Carabayllo</c:v>
                </c:pt>
                <c:pt idx="5">
                  <c:v>Tienda Chaclacayo</c:v>
                </c:pt>
                <c:pt idx="6">
                  <c:v>Tienda Chorrillos</c:v>
                </c:pt>
                <c:pt idx="7">
                  <c:v>Tienda Cieneguilla</c:v>
                </c:pt>
                <c:pt idx="8">
                  <c:v>Tienda Comas</c:v>
                </c:pt>
                <c:pt idx="9">
                  <c:v>Tienda El Agustino</c:v>
                </c:pt>
              </c:strCache>
            </c:strRef>
          </c:cat>
          <c:val>
            <c:numRef>
              <c:f>TD!$B$2:$B$12</c:f>
              <c:numCache>
                <c:formatCode>General</c:formatCode>
                <c:ptCount val="10"/>
                <c:pt idx="0">
                  <c:v>4243.9000000000005</c:v>
                </c:pt>
                <c:pt idx="1">
                  <c:v>1104.0999999999999</c:v>
                </c:pt>
                <c:pt idx="2">
                  <c:v>14220.7</c:v>
                </c:pt>
                <c:pt idx="3">
                  <c:v>1694.1</c:v>
                </c:pt>
                <c:pt idx="4">
                  <c:v>5999.4</c:v>
                </c:pt>
                <c:pt idx="5">
                  <c:v>1534.7</c:v>
                </c:pt>
                <c:pt idx="6">
                  <c:v>2089.1999999999998</c:v>
                </c:pt>
                <c:pt idx="7">
                  <c:v>1484.4</c:v>
                </c:pt>
                <c:pt idx="8">
                  <c:v>1759.5</c:v>
                </c:pt>
                <c:pt idx="9">
                  <c:v>12454.2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6CD-4475-9B0C-B881D9FAB8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>
          <a:alpha val="92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[Dashboard_BiciMundo.xlsx]TD!TablaDinámica4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Tendencia</a:t>
            </a:r>
            <a:r>
              <a:rPr lang="en-US" b="1" baseline="0"/>
              <a:t> por Mes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TD!$D$2:$D$5</c:f>
              <c:strCache>
                <c:ptCount val="3"/>
                <c:pt idx="0">
                  <c:v>Abril</c:v>
                </c:pt>
                <c:pt idx="1">
                  <c:v>Junio</c:v>
                </c:pt>
                <c:pt idx="2">
                  <c:v>Julio</c:v>
                </c:pt>
              </c:strCache>
            </c:strRef>
          </c:cat>
          <c:val>
            <c:numRef>
              <c:f>TD!$E$2:$E$5</c:f>
              <c:numCache>
                <c:formatCode>0,"mil"</c:formatCode>
                <c:ptCount val="3"/>
                <c:pt idx="0">
                  <c:v>1701</c:v>
                </c:pt>
                <c:pt idx="1">
                  <c:v>18710.400000000001</c:v>
                </c:pt>
                <c:pt idx="2">
                  <c:v>26172.799999999999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3-42E8-96F9-896057B9FD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9353887"/>
        <c:axId val="197841935"/>
      </c:lineChart>
      <c:catAx>
        <c:axId val="7693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7841935"/>
        <c:crosses val="autoZero"/>
        <c:auto val="1"/>
        <c:lblAlgn val="ctr"/>
        <c:lblOffset val="100"/>
        <c:noMultiLvlLbl val="0"/>
      </c:catAx>
      <c:valAx>
        <c:axId val="197841935"/>
        <c:scaling>
          <c:orientation val="minMax"/>
        </c:scaling>
        <c:delete val="1"/>
        <c:axPos val="l"/>
        <c:numFmt formatCode="0,&quot;mil&quot;" sourceLinked="1"/>
        <c:majorTickMark val="none"/>
        <c:minorTickMark val="none"/>
        <c:tickLblPos val="nextTo"/>
        <c:crossAx val="76935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[Dashboard_BiciMundo.xlsx]TD!TablaDinámica5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3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TD!$A$16:$A$19</c:f>
              <c:strCache>
                <c:ptCount val="3"/>
                <c:pt idx="0">
                  <c:v>Bicicleta de ruta</c:v>
                </c:pt>
                <c:pt idx="1">
                  <c:v>Bicicleta eléctrica urbana</c:v>
                </c:pt>
                <c:pt idx="2">
                  <c:v>Bicicleta eléctrica urbana</c:v>
                </c:pt>
              </c:strCache>
            </c:strRef>
          </c:cat>
          <c:val>
            <c:numRef>
              <c:f>TD!$B$16:$B$19</c:f>
              <c:numCache>
                <c:formatCode>0,"mil"</c:formatCode>
                <c:ptCount val="3"/>
                <c:pt idx="0">
                  <c:v>4100</c:v>
                </c:pt>
                <c:pt idx="1">
                  <c:v>9000</c:v>
                </c:pt>
                <c:pt idx="2">
                  <c:v>11699.7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4-471D-970C-9E4DDE60DE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29055967"/>
        <c:axId val="929056447"/>
      </c:barChart>
      <c:catAx>
        <c:axId val="929055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9056447"/>
        <c:crosses val="autoZero"/>
        <c:auto val="1"/>
        <c:lblAlgn val="ctr"/>
        <c:lblOffset val="100"/>
        <c:noMultiLvlLbl val="0"/>
      </c:catAx>
      <c:valAx>
        <c:axId val="929056447"/>
        <c:scaling>
          <c:orientation val="minMax"/>
        </c:scaling>
        <c:delete val="1"/>
        <c:axPos val="b"/>
        <c:numFmt formatCode="0,&quot;mil&quot;" sourceLinked="1"/>
        <c:majorTickMark val="none"/>
        <c:minorTickMark val="none"/>
        <c:tickLblPos val="nextTo"/>
        <c:crossAx val="92905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[Dashboard_BiciMundo.xlsx]TD!TablaDinámica6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3 Vendedores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TD!$D$16:$D$19</c:f>
              <c:strCache>
                <c:ptCount val="3"/>
                <c:pt idx="0">
                  <c:v>Adrián Hidalgo</c:v>
                </c:pt>
                <c:pt idx="1">
                  <c:v>Carlos Mendoza</c:v>
                </c:pt>
                <c:pt idx="2">
                  <c:v>Ricardo Ramírez</c:v>
                </c:pt>
              </c:strCache>
            </c:strRef>
          </c:cat>
          <c:val>
            <c:numRef>
              <c:f>TD!$E$16:$E$19</c:f>
              <c:numCache>
                <c:formatCode>0,"mil"</c:formatCode>
                <c:ptCount val="3"/>
                <c:pt idx="0">
                  <c:v>11699.7</c:v>
                </c:pt>
                <c:pt idx="1">
                  <c:v>9000</c:v>
                </c:pt>
                <c:pt idx="2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2-4B60-BC9C-D7E206C6EC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0546895"/>
        <c:axId val="920541135"/>
      </c:barChart>
      <c:catAx>
        <c:axId val="92054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0541135"/>
        <c:crosses val="autoZero"/>
        <c:auto val="1"/>
        <c:lblAlgn val="ctr"/>
        <c:lblOffset val="100"/>
        <c:noMultiLvlLbl val="0"/>
      </c:catAx>
      <c:valAx>
        <c:axId val="920541135"/>
        <c:scaling>
          <c:orientation val="minMax"/>
        </c:scaling>
        <c:delete val="1"/>
        <c:axPos val="l"/>
        <c:numFmt formatCode="0,&quot;mil&quot;" sourceLinked="1"/>
        <c:majorTickMark val="none"/>
        <c:minorTickMark val="none"/>
        <c:tickLblPos val="nextTo"/>
        <c:crossAx val="92054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5</xdr:row>
      <xdr:rowOff>19050</xdr:rowOff>
    </xdr:from>
    <xdr:to>
      <xdr:col>2</xdr:col>
      <xdr:colOff>647700</xdr:colOff>
      <xdr:row>19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C46B8F14-54D9-40D0-BE0F-CBCD79FA9E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599" y="971550"/>
              <a:ext cx="1943101" cy="2714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219074</xdr:colOff>
      <xdr:row>20</xdr:row>
      <xdr:rowOff>47625</xdr:rowOff>
    </xdr:from>
    <xdr:to>
      <xdr:col>4</xdr:col>
      <xdr:colOff>590549</xdr:colOff>
      <xdr:row>30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FF4D2-6629-4AA6-A370-964962AF0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180975</xdr:colOff>
      <xdr:row>5</xdr:row>
      <xdr:rowOff>28577</xdr:rowOff>
    </xdr:from>
    <xdr:to>
      <xdr:col>6</xdr:col>
      <xdr:colOff>200024</xdr:colOff>
      <xdr:row>8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5DE60A05-7021-417E-A155-464BF0687A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75" y="981077"/>
              <a:ext cx="2305049" cy="666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390525</xdr:colOff>
      <xdr:row>5</xdr:row>
      <xdr:rowOff>19051</xdr:rowOff>
    </xdr:from>
    <xdr:to>
      <xdr:col>9</xdr:col>
      <xdr:colOff>571500</xdr:colOff>
      <xdr:row>8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mana">
              <a:extLst>
                <a:ext uri="{FF2B5EF4-FFF2-40B4-BE49-F238E27FC236}">
                  <a16:creationId xmlns:a16="http://schemas.microsoft.com/office/drawing/2014/main" id="{B991C059-7E2B-48DE-9CFE-667EEED20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971551"/>
              <a:ext cx="2466975" cy="657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47625</xdr:colOff>
      <xdr:row>5</xdr:row>
      <xdr:rowOff>9525</xdr:rowOff>
    </xdr:from>
    <xdr:to>
      <xdr:col>12</xdr:col>
      <xdr:colOff>352425</xdr:colOff>
      <xdr:row>19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ia">
              <a:extLst>
                <a:ext uri="{FF2B5EF4-FFF2-40B4-BE49-F238E27FC236}">
                  <a16:creationId xmlns:a16="http://schemas.microsoft.com/office/drawing/2014/main" id="{D88F0A7F-EE56-40B6-B681-342AA3F06C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7625" y="962025"/>
              <a:ext cx="1828800" cy="267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171450</xdr:colOff>
      <xdr:row>9</xdr:row>
      <xdr:rowOff>9525</xdr:rowOff>
    </xdr:from>
    <xdr:to>
      <xdr:col>9</xdr:col>
      <xdr:colOff>590550</xdr:colOff>
      <xdr:row>19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217756-C023-4B91-A26E-86679398A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20</xdr:row>
      <xdr:rowOff>38100</xdr:rowOff>
    </xdr:from>
    <xdr:to>
      <xdr:col>8</xdr:col>
      <xdr:colOff>600075</xdr:colOff>
      <xdr:row>30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3BB92D-4429-4FAC-BBEF-4CA58F1EC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742949</xdr:colOff>
      <xdr:row>20</xdr:row>
      <xdr:rowOff>57150</xdr:rowOff>
    </xdr:from>
    <xdr:to>
      <xdr:col>12</xdr:col>
      <xdr:colOff>361950</xdr:colOff>
      <xdr:row>30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38446BC-29E4-460E-9D44-FB2B766D2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161925</xdr:rowOff>
    </xdr:from>
    <xdr:to>
      <xdr:col>2</xdr:col>
      <xdr:colOff>638175</xdr:colOff>
      <xdr:row>4</xdr:row>
      <xdr:rowOff>141501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244783-6AA9-9B8D-E41B-6A17689FF2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02" t="52218" r="32124" b="35914"/>
        <a:stretch>
          <a:fillRect/>
        </a:stretch>
      </xdr:blipFill>
      <xdr:spPr>
        <a:xfrm>
          <a:off x="247650" y="352425"/>
          <a:ext cx="1914525" cy="551076"/>
        </a:xfrm>
        <a:prstGeom prst="rect">
          <a:avLst/>
        </a:prstGeom>
        <a:ln>
          <a:solidFill>
            <a:srgbClr val="00B0F0"/>
          </a:solidFill>
        </a:ln>
      </xdr:spPr>
    </xdr:pic>
    <xdr:clientData/>
  </xdr:twoCellAnchor>
  <xdr:twoCellAnchor>
    <xdr:from>
      <xdr:col>3</xdr:col>
      <xdr:colOff>114300</xdr:colOff>
      <xdr:row>1</xdr:row>
      <xdr:rowOff>158563</xdr:rowOff>
    </xdr:from>
    <xdr:to>
      <xdr:col>6</xdr:col>
      <xdr:colOff>114300</xdr:colOff>
      <xdr:row>4</xdr:row>
      <xdr:rowOff>15688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922ACB6-9EA4-03A5-469B-79A7B652BBDF}"/>
            </a:ext>
          </a:extLst>
        </xdr:cNvPr>
        <xdr:cNvGrpSpPr/>
      </xdr:nvGrpSpPr>
      <xdr:grpSpPr>
        <a:xfrm>
          <a:off x="2400300" y="349063"/>
          <a:ext cx="2286000" cy="428625"/>
          <a:chOff x="2400300" y="371475"/>
          <a:chExt cx="2286000" cy="428625"/>
        </a:xfrm>
      </xdr:grpSpPr>
      <xdr:sp macro="" textlink="TD!A26">
        <xdr:nvSpPr>
          <xdr:cNvPr id="14" name="Rectángulo 13">
            <a:extLst>
              <a:ext uri="{FF2B5EF4-FFF2-40B4-BE49-F238E27FC236}">
                <a16:creationId xmlns:a16="http://schemas.microsoft.com/office/drawing/2014/main" id="{53B7D217-7BCE-4A8B-8008-370B892C425C}"/>
              </a:ext>
            </a:extLst>
          </xdr:cNvPr>
          <xdr:cNvSpPr/>
        </xdr:nvSpPr>
        <xdr:spPr>
          <a:xfrm>
            <a:off x="3600450" y="371475"/>
            <a:ext cx="1085850" cy="428625"/>
          </a:xfrm>
          <a:prstGeom prst="rect">
            <a:avLst/>
          </a:prstGeom>
          <a:ln>
            <a:solidFill>
              <a:srgbClr val="00B0F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73FFCC74-E087-4C3A-A57E-746A94082461}" type="TxLink">
              <a:rPr lang="en-US" sz="2000" b="1" i="0" u="none" strike="noStrike">
                <a:solidFill>
                  <a:schemeClr val="accent1"/>
                </a:solidFill>
                <a:latin typeface="Calibri"/>
                <a:cs typeface="Calibri"/>
              </a:rPr>
              <a:pPr algn="ctr"/>
              <a:t>47mil</a:t>
            </a:fld>
            <a:endParaRPr lang="es-PE" sz="2000" b="1">
              <a:solidFill>
                <a:schemeClr val="accent1"/>
              </a:solidFill>
            </a:endParaRPr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62360369-417E-9C77-6A72-905742575382}"/>
              </a:ext>
            </a:extLst>
          </xdr:cNvPr>
          <xdr:cNvSpPr/>
        </xdr:nvSpPr>
        <xdr:spPr>
          <a:xfrm>
            <a:off x="2400300" y="371475"/>
            <a:ext cx="1200150" cy="428625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solidFill>
              <a:srgbClr val="00B0F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400" b="1">
                <a:solidFill>
                  <a:schemeClr val="bg1">
                    <a:lumMod val="95000"/>
                  </a:schemeClr>
                </a:solidFill>
              </a:rPr>
              <a:t>Monto</a:t>
            </a:r>
            <a:r>
              <a:rPr lang="es-PE" sz="1400" b="1" baseline="0">
                <a:solidFill>
                  <a:schemeClr val="bg1">
                    <a:lumMod val="95000"/>
                  </a:schemeClr>
                </a:solidFill>
              </a:rPr>
              <a:t> Total</a:t>
            </a:r>
            <a:endParaRPr lang="es-PE" sz="1400" b="1">
              <a:solidFill>
                <a:schemeClr val="bg1">
                  <a:lumMod val="9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347383</xdr:colOff>
      <xdr:row>1</xdr:row>
      <xdr:rowOff>168086</xdr:rowOff>
    </xdr:from>
    <xdr:to>
      <xdr:col>12</xdr:col>
      <xdr:colOff>347383</xdr:colOff>
      <xdr:row>4</xdr:row>
      <xdr:rowOff>25212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C25842AA-2A10-8EA1-0BB5-F894F07E69F6}"/>
            </a:ext>
          </a:extLst>
        </xdr:cNvPr>
        <xdr:cNvGrpSpPr/>
      </xdr:nvGrpSpPr>
      <xdr:grpSpPr>
        <a:xfrm>
          <a:off x="7205383" y="358586"/>
          <a:ext cx="2286000" cy="428626"/>
          <a:chOff x="6477000" y="302557"/>
          <a:chExt cx="2286000" cy="428626"/>
        </a:xfrm>
      </xdr:grpSpPr>
      <xdr:sp macro="" textlink="TD!B26">
        <xdr:nvSpPr>
          <xdr:cNvPr id="20" name="Rectángulo 19">
            <a:extLst>
              <a:ext uri="{FF2B5EF4-FFF2-40B4-BE49-F238E27FC236}">
                <a16:creationId xmlns:a16="http://schemas.microsoft.com/office/drawing/2014/main" id="{31025589-6643-9872-BB00-02C5556B295A}"/>
              </a:ext>
            </a:extLst>
          </xdr:cNvPr>
          <xdr:cNvSpPr/>
        </xdr:nvSpPr>
        <xdr:spPr>
          <a:xfrm>
            <a:off x="7677150" y="302558"/>
            <a:ext cx="1085850" cy="428625"/>
          </a:xfrm>
          <a:prstGeom prst="rect">
            <a:avLst/>
          </a:prstGeom>
          <a:ln>
            <a:solidFill>
              <a:srgbClr val="00B0F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BDB1EA2-9EBE-47A6-BF57-3DC83E38BF29}" type="TxLink">
              <a:rPr lang="en-US" sz="2000" b="1" i="0" u="none" strike="noStrike">
                <a:solidFill>
                  <a:srgbClr val="0070C0"/>
                </a:solidFill>
                <a:latin typeface="Calibri"/>
                <a:cs typeface="Calibri"/>
              </a:rPr>
              <a:t>61</a:t>
            </a:fld>
            <a:endParaRPr lang="es-PE" sz="2000" b="1">
              <a:solidFill>
                <a:srgbClr val="0070C0"/>
              </a:solidFill>
            </a:endParaRPr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7883A905-9365-11C2-0018-B209A81EABDC}"/>
              </a:ext>
            </a:extLst>
          </xdr:cNvPr>
          <xdr:cNvSpPr/>
        </xdr:nvSpPr>
        <xdr:spPr>
          <a:xfrm>
            <a:off x="6477000" y="302557"/>
            <a:ext cx="1200150" cy="428625"/>
          </a:xfrm>
          <a:prstGeom prst="rect">
            <a:avLst/>
          </a:prstGeom>
          <a:solidFill>
            <a:schemeClr val="accent2">
              <a:lumMod val="75000"/>
            </a:schemeClr>
          </a:solidFill>
          <a:ln>
            <a:solidFill>
              <a:srgbClr val="00B0F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400" b="1" baseline="0">
                <a:solidFill>
                  <a:schemeClr val="bg1">
                    <a:lumMod val="95000"/>
                  </a:schemeClr>
                </a:solidFill>
              </a:rPr>
              <a:t>Nro. Pedidos</a:t>
            </a:r>
            <a:endParaRPr lang="es-PE" sz="1400" b="1">
              <a:solidFill>
                <a:schemeClr val="bg1">
                  <a:lumMod val="95000"/>
                </a:schemeClr>
              </a:solidFill>
            </a:endParaRPr>
          </a:p>
        </xdr:txBody>
      </xdr:sp>
    </xdr:grpSp>
    <xdr:clientData/>
  </xdr:twoCellAnchor>
  <xdr:twoCellAnchor>
    <xdr:from>
      <xdr:col>6</xdr:col>
      <xdr:colOff>493059</xdr:colOff>
      <xdr:row>1</xdr:row>
      <xdr:rowOff>156884</xdr:rowOff>
    </xdr:from>
    <xdr:to>
      <xdr:col>9</xdr:col>
      <xdr:colOff>145677</xdr:colOff>
      <xdr:row>4</xdr:row>
      <xdr:rowOff>33619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8C6B3975-1A15-310D-79C8-A4A47BD52E28}"/>
            </a:ext>
          </a:extLst>
        </xdr:cNvPr>
        <xdr:cNvSpPr/>
      </xdr:nvSpPr>
      <xdr:spPr>
        <a:xfrm>
          <a:off x="5065059" y="347384"/>
          <a:ext cx="1938618" cy="448235"/>
        </a:xfrm>
        <a:prstGeom prst="rect">
          <a:avLst/>
        </a:prstGeom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rgbClr val="0070C0"/>
              </a:solidFill>
            </a:rPr>
            <a:t>By:</a:t>
          </a:r>
          <a:r>
            <a:rPr lang="es-PE" sz="1600" b="1" baseline="0">
              <a:solidFill>
                <a:srgbClr val="0070C0"/>
              </a:solidFill>
            </a:rPr>
            <a:t> </a:t>
          </a:r>
          <a:r>
            <a:rPr lang="es-PE" sz="1600" b="1">
              <a:solidFill>
                <a:srgbClr val="0070C0"/>
              </a:solidFill>
            </a:rPr>
            <a:t>Dev</a:t>
          </a:r>
          <a:r>
            <a:rPr lang="es-PE" sz="1600" b="1" baseline="0">
              <a:solidFill>
                <a:srgbClr val="0070C0"/>
              </a:solidFill>
            </a:rPr>
            <a:t>DataRider</a:t>
          </a:r>
          <a:endParaRPr lang="es-PE" sz="1600" b="1">
            <a:solidFill>
              <a:srgbClr val="0070C0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6821875" backgroundQuery="1" createdVersion="8" refreshedVersion="8" minRefreshableVersion="3" recordCount="0" supportSubquery="1" supportAdvancedDrill="1" xr:uid="{E1A41B1E-2204-483F-8086-943858166A95}">
  <cacheSource type="external" connectionId="1"/>
  <cacheFields count="8">
    <cacheField name="[Measures].[Monto Total]" caption="Monto Total" numFmtId="0" hierarchy="27" level="32767"/>
    <cacheField name="[Dim Vendedores].[Tienda].[Tienda]" caption="Tienda" numFmtId="0" hierarchy="23" level="1">
      <sharedItems count="10">
        <s v="[Dim Vendedores].[Tienda].&amp;[Tienda Ancón]" c="Tienda Ancón"/>
        <s v="[Dim Vendedores].[Tienda].&amp;[Tienda Ate]" c="Tienda Ate"/>
        <s v="[Dim Vendedores].[Tienda].&amp;[Tienda Barranco]" c="Tienda Barranco"/>
        <s v="[Dim Vendedores].[Tienda].&amp;[Tienda Breña]" c="Tienda Breña"/>
        <s v="[Dim Vendedores].[Tienda].&amp;[Tienda Carabayllo]" c="Tienda Carabayllo"/>
        <s v="[Dim Vendedores].[Tienda].&amp;[Tienda Chaclacayo]" c="Tienda Chaclacayo"/>
        <s v="[Dim Vendedores].[Tienda].&amp;[Tienda Chorrillos]" c="Tienda Chorrillos"/>
        <s v="[Dim Vendedores].[Tienda].&amp;[Tienda Cieneguilla]" c="Tienda Cieneguilla"/>
        <s v="[Dim Vendedores].[Tienda].&amp;[Tienda Comas]" c="Tienda Comas"/>
        <s v="[Dim Vendedores].[Tienda].&amp;[Tienda El Agustino]" c="Tienda El Agustino"/>
      </sharedItems>
    </cacheField>
    <cacheField name="[Dim Productos].[Categoria].[Categoria]" caption="Categoria" numFmtId="0" hierarchy="17" level="1">
      <sharedItems containsSemiMixedTypes="0" containsString="0"/>
    </cacheField>
    <cacheField name="[Dim Vendedores].[Vendedor].[Vendedor]" caption="Vendedor" numFmtId="0" hierarchy="24" level="1">
      <sharedItems containsSemiMixedTypes="0" containsString="0"/>
    </cacheField>
    <cacheField name="[Dim Vendedores].[Vendedor].[Vendedor].[Id Vendedor]" caption="Id Vendedor" propertyName="Id Vendedor" numFmtId="0" hierarchy="24" level="1" memberPropertyField="1">
      <sharedItems containsSemiMixedTypes="0" containsString="0"/>
    </cacheField>
    <cacheField name="[Dim Vendedores].[Vendedor].[Vendedor].[Tienda]" caption="Tienda" propertyName="Tienda" numFmtId="0" hierarchy="24" level="1" memberPropertyField="1">
      <sharedItems containsSemiMixedTypes="0" containsString="0"/>
    </cacheField>
    <cacheField name="[Dim Fecha].[Mes].[Mes]" caption="Mes" numFmtId="0" hierarchy="7" level="1">
      <sharedItems containsSemiMixedTypes="0" containsString="0"/>
    </cacheField>
    <cacheField name="[Dim Fecha].[Semana].[Semana]" caption="Semana" numFmtId="0" hierarchy="10" level="1">
      <sharedItems containsSemiMixedTypes="0" containsString="0"/>
    </cacheField>
  </cacheFields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0" unbalanced="0"/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>
      <fieldsUsage count="2">
        <fieldUsage x="-1"/>
        <fieldUsage x="6"/>
      </fieldsUsage>
    </cacheHierarchy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0" unbalanced="0"/>
    <cacheHierarchy uniqueName="[Dim Fecha].[Semana]" caption="Semana" attribute="1" time="1" defaultMemberUniqueName="[Dim Fecha].[Semana].[All]" allUniqueName="[Dim Fecha].[Semana].[All]" dimensionUniqueName="[Dim Fecha]" displayFolder="" count="2" unbalanced="0">
      <fieldsUsage count="2">
        <fieldUsage x="-1"/>
        <fieldUsage x="7"/>
      </fieldsUsage>
    </cacheHierarchy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>
      <fieldsUsage count="2">
        <fieldUsage x="-1"/>
        <fieldUsage x="2"/>
      </fieldsUsage>
    </cacheHierarchy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0" unbalanced="0"/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2" unbalanced="0">
      <fieldsUsage count="2">
        <fieldUsage x="-1"/>
        <fieldUsage x="1"/>
      </fieldsUsage>
    </cacheHierarchy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>
      <fieldsUsage count="2">
        <fieldUsage x="-1"/>
        <fieldUsage x="3"/>
      </fieldsUsage>
    </cacheHierarchy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 oneField="1">
      <fieldsUsage count="1">
        <fieldUsage x="0"/>
      </fieldsUsage>
    </cacheHierarchy>
    <cacheHierarchy uniqueName="[Measures].[Recuentos únicos]" caption="Recuentos únicos" measure="1" displayFolder="" measureGroup="Pedidos únicos" count="0"/>
  </cacheHierarchies>
  <kpis count="0"/>
  <dimensions count="6">
    <dimension name="Dim Clientes" uniqueName="[Dim Clientes]" caption="Dim Clientes"/>
    <dimension name="Dim Fecha" uniqueName="[Dim Fecha]" caption="Dim Fecha"/>
    <dimension name="Dim Orden" uniqueName="[Dim Orden]" caption="Dim Orden"/>
    <dimension name="Dim Productos" uniqueName="[Dim Productos]" caption="Dim Productos"/>
    <dimension name="Dim Vendedores" uniqueName="[Dim Vendedores]" caption="Dim Vendedores"/>
    <dimension measure="1" name="Measures" uniqueName="[Measures]" caption="Measures"/>
  </dimensions>
  <measureGroups count="2">
    <measureGroup name="Fact Ventas" caption="Fact Ventas"/>
    <measureGroup name="Pedidos únicos" caption="Pedidos únicos"/>
  </measureGroups>
  <maps count="10">
    <map measureGroup="0" dimension="0"/>
    <map measureGroup="0" dimension="1"/>
    <map measureGroup="0" dimension="2"/>
    <map measureGroup="0" dimension="3"/>
    <map measureGroup="0" dimension="4"/>
    <map measureGroup="1" dimension="0"/>
    <map measureGroup="1" dimension="1"/>
    <map measureGroup="1" dimension="2"/>
    <map measureGroup="1" dimension="3"/>
    <map measureGroup="1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6822569447" backgroundQuery="1" createdVersion="8" refreshedVersion="8" minRefreshableVersion="3" recordCount="0" supportSubquery="1" supportAdvancedDrill="1" xr:uid="{D49C731D-B238-4631-9F17-E7E96852A15F}">
  <cacheSource type="external" connectionId="1"/>
  <cacheFields count="12">
    <cacheField name="[Measures].[Monto Total]" caption="Monto Total" numFmtId="0" hierarchy="27" level="32767"/>
    <cacheField name="[Dim Productos].[Producto].[Producto]" caption="Producto" numFmtId="0" hierarchy="21" level="1" mappingCount="4">
      <sharedItems count="3">
        <s v="[Dim Productos].[Producto].&amp;[70]" c="Bicicleta de ruta"/>
        <s v="[Dim Productos].[Producto].&amp;[1]" c="Bicicleta eléctrica urbana"/>
        <s v="[Dim Productos].[Producto].&amp;[46]" c="Bicicleta eléctrica urbana"/>
      </sharedItems>
      <mpMap v="2"/>
      <mpMap v="3"/>
      <mpMap v="4"/>
      <mpMap v="5"/>
    </cacheField>
    <cacheField name="[Dim Productos].[Producto].[Producto].[Categoria]" caption="Categoria" propertyName="Categoria" numFmtId="0" hierarchy="21" level="1" memberPropertyField="1">
      <sharedItems count="1">
        <s v="Bicicletas"/>
      </sharedItems>
    </cacheField>
    <cacheField name="[Dim Productos].[Producto].[Producto].[Id Producto]" caption="Id Producto" propertyName="Id Producto" numFmtId="0" hierarchy="21" level="1" memberPropertyField="1">
      <sharedItems containsSemiMixedTypes="0" containsString="0" containsNumber="1" containsInteger="1" minValue="1" maxValue="70" count="3">
        <n v="70"/>
        <n v="1"/>
        <n v="46"/>
      </sharedItems>
    </cacheField>
    <cacheField name="[Dim Productos].[Producto].[Producto].[Marca]" caption="Marca" propertyName="Marca" numFmtId="0" hierarchy="21" level="1" memberPropertyField="1">
      <sharedItems count="1">
        <s v="Monark"/>
      </sharedItems>
    </cacheField>
    <cacheField name="[Dim Productos].[Producto].[Producto].[Modelo]" caption="Modelo" propertyName="Modelo" numFmtId="0" hierarchy="21" level="1" memberPropertyField="1">
      <sharedItems count="2">
        <s v="Marlin 5"/>
        <s v="Urban Classic"/>
      </sharedItems>
    </cacheField>
    <cacheField name="[Dim Vendedores].[Vendedor].[Vendedor]" caption="Vendedor" numFmtId="0" hierarchy="24" level="1">
      <sharedItems containsSemiMixedTypes="0" containsString="0"/>
    </cacheField>
    <cacheField name="[Dim Vendedores].[Vendedor].[Vendedor].[Id Vendedor]" caption="Id Vendedor" propertyName="Id Vendedor" numFmtId="0" hierarchy="24" level="1" memberPropertyField="1">
      <sharedItems containsSemiMixedTypes="0" containsString="0"/>
    </cacheField>
    <cacheField name="[Dim Vendedores].[Vendedor].[Vendedor].[Tienda]" caption="Tienda" propertyName="Tienda" numFmtId="0" hierarchy="24" level="1" memberPropertyField="1">
      <sharedItems containsSemiMixedTypes="0" containsString="0"/>
    </cacheField>
    <cacheField name="[Dim Fecha].[Mes].[Mes]" caption="Mes" numFmtId="0" hierarchy="7" level="1">
      <sharedItems containsSemiMixedTypes="0" containsString="0"/>
    </cacheField>
    <cacheField name="[Dim Fecha].[Semana].[Semana]" caption="Semana" numFmtId="0" hierarchy="10" level="1">
      <sharedItems containsSemiMixedTypes="0" containsString="0"/>
    </cacheField>
    <cacheField name="[Dim Productos].[Categoria].[Categoria]" caption="Categoria" numFmtId="0" hierarchy="17" level="1">
      <sharedItems containsSemiMixedTypes="0" containsString="0"/>
    </cacheField>
  </cacheFields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0" unbalanced="0"/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>
      <fieldsUsage count="2">
        <fieldUsage x="-1"/>
        <fieldUsage x="9"/>
      </fieldsUsage>
    </cacheHierarchy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0" unbalanced="0"/>
    <cacheHierarchy uniqueName="[Dim Fecha].[Semana]" caption="Semana" attribute="1" time="1" defaultMemberUniqueName="[Dim Fecha].[Semana].[All]" allUniqueName="[Dim Fecha].[Semana].[All]" dimensionUniqueName="[Dim Fecha]" displayFolder="" count="2" unbalanced="0">
      <fieldsUsage count="2">
        <fieldUsage x="-1"/>
        <fieldUsage x="10"/>
      </fieldsUsage>
    </cacheHierarchy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>
      <fieldsUsage count="2">
        <fieldUsage x="-1"/>
        <fieldUsage x="11"/>
      </fieldsUsage>
    </cacheHierarchy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2" unbalanced="0">
      <fieldsUsage count="2">
        <fieldUsage x="-1"/>
        <fieldUsage x="1"/>
      </fieldsUsage>
    </cacheHierarchy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0" unbalanced="0"/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>
      <fieldsUsage count="2">
        <fieldUsage x="-1"/>
        <fieldUsage x="6"/>
      </fieldsUsage>
    </cacheHierarchy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 oneField="1">
      <fieldsUsage count="1">
        <fieldUsage x="0"/>
      </fieldsUsage>
    </cacheHierarchy>
    <cacheHierarchy uniqueName="[Measures].[Recuentos únicos]" caption="Recuentos únicos" measure="1" displayFolder="" measureGroup="Pedidos únicos" count="0"/>
  </cacheHierarchies>
  <kpis count="0"/>
  <dimensions count="6">
    <dimension name="Dim Clientes" uniqueName="[Dim Clientes]" caption="Dim Clientes"/>
    <dimension name="Dim Fecha" uniqueName="[Dim Fecha]" caption="Dim Fecha"/>
    <dimension name="Dim Orden" uniqueName="[Dim Orden]" caption="Dim Orden"/>
    <dimension name="Dim Productos" uniqueName="[Dim Productos]" caption="Dim Productos"/>
    <dimension name="Dim Vendedores" uniqueName="[Dim Vendedores]" caption="Dim Vendedores"/>
    <dimension measure="1" name="Measures" uniqueName="[Measures]" caption="Measures"/>
  </dimensions>
  <measureGroups count="2">
    <measureGroup name="Fact Ventas" caption="Fact Ventas"/>
    <measureGroup name="Pedidos únicos" caption="Pedidos únicos"/>
  </measureGroups>
  <maps count="10">
    <map measureGroup="0" dimension="0"/>
    <map measureGroup="0" dimension="1"/>
    <map measureGroup="0" dimension="2"/>
    <map measureGroup="0" dimension="3"/>
    <map measureGroup="0" dimension="4"/>
    <map measureGroup="1" dimension="0"/>
    <map measureGroup="1" dimension="1"/>
    <map measureGroup="1" dimension="2"/>
    <map measureGroup="1" dimension="3"/>
    <map measureGroup="1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6823148147" backgroundQuery="1" createdVersion="8" refreshedVersion="8" minRefreshableVersion="3" recordCount="0" supportSubquery="1" supportAdvancedDrill="1" xr:uid="{D25FD7A1-18A5-4569-8E33-C6E65A5DA757}">
  <cacheSource type="external" connectionId="1"/>
  <cacheFields count="15">
    <cacheField name="[Measures].[Monto Total]" caption="Monto Total" numFmtId="0" hierarchy="27" level="32767"/>
    <cacheField name="[Dim Productos].[Producto].[Producto]" caption="Producto" numFmtId="0" hierarchy="21" level="1">
      <sharedItems count="3">
        <s v="[Dim Productos].[Producto].&amp;[70]" c="Bicicleta de ruta"/>
        <s v="[Dim Productos].[Producto].&amp;[1]" c="Bicicleta eléctrica urbana"/>
        <s v="[Dim Productos].[Producto].&amp;[46]" c="Bicicleta eléctrica urbana"/>
      </sharedItems>
    </cacheField>
    <cacheField name="[Dim Productos].[Producto].[Producto].[Categoria]" caption="Categoria" propertyName="Categoria" numFmtId="0" hierarchy="21" level="1" memberPropertyField="1">
      <sharedItems containsSemiMixedTypes="0" containsString="0"/>
    </cacheField>
    <cacheField name="[Dim Productos].[Producto].[Producto].[Id Producto]" caption="Id Producto" propertyName="Id Producto" numFmtId="0" hierarchy="21" level="1" memberPropertyField="1">
      <sharedItems containsSemiMixedTypes="0" containsString="0"/>
    </cacheField>
    <cacheField name="[Dim Productos].[Producto].[Producto].[Marca]" caption="Marca" propertyName="Marca" numFmtId="0" hierarchy="21" level="1" memberPropertyField="1">
      <sharedItems containsSemiMixedTypes="0" containsString="0"/>
    </cacheField>
    <cacheField name="[Dim Productos].[Producto].[Producto].[Modelo]" caption="Modelo" propertyName="Modelo" numFmtId="0" hierarchy="21" level="1" memberPropertyField="1">
      <sharedItems containsSemiMixedTypes="0" containsString="0"/>
    </cacheField>
    <cacheField name="[Dim Clientes].[Cliente].[Cliente]" caption="Cliente" numFmtId="0" level="1" mappingCount="2">
      <sharedItems count="3">
        <s v="[Dim Clientes].[Cliente].&amp;[50]" c="Adrián Hidalgo"/>
        <s v="[Dim Clientes].[Cliente].&amp;[23]" c="Carlos Mendoza"/>
        <s v="[Dim Clientes].[Cliente].&amp;[35]" c="Ricardo Ramírez"/>
      </sharedItems>
      <mpMap v="7"/>
      <mpMap v="8"/>
    </cacheField>
    <cacheField name="[Dim Clientes].[Cliente].[Cliente].[Distrito]" caption="Distrito" propertyName="Distrito" numFmtId="0" level="1" memberPropertyField="1">
      <sharedItems count="3">
        <s v="Lurigancho"/>
        <s v="Cieneguilla"/>
        <s v="Jesús María"/>
      </sharedItems>
    </cacheField>
    <cacheField name="[Dim Clientes].[Cliente].[Cliente].[Id Cliente]" caption="Id Cliente" propertyName="Id Cliente" numFmtId="0" level="1" memberPropertyField="1">
      <sharedItems containsSemiMixedTypes="0" containsString="0" containsNumber="1" containsInteger="1" minValue="23" maxValue="50" count="3">
        <n v="50"/>
        <n v="23"/>
        <n v="35"/>
      </sharedItems>
    </cacheField>
    <cacheField name="[Dim Vendedores].[Vendedor].[Vendedor]" caption="Vendedor" numFmtId="0" hierarchy="24" level="1">
      <sharedItems containsSemiMixedTypes="0" containsString="0"/>
    </cacheField>
    <cacheField name="[Dim Vendedores].[Vendedor].[Vendedor].[Id Vendedor]" caption="Id Vendedor" propertyName="Id Vendedor" numFmtId="0" hierarchy="24" level="1" memberPropertyField="1">
      <sharedItems containsSemiMixedTypes="0" containsString="0"/>
    </cacheField>
    <cacheField name="[Dim Vendedores].[Vendedor].[Vendedor].[Tienda]" caption="Tienda" propertyName="Tienda" numFmtId="0" hierarchy="24" level="1" memberPropertyField="1">
      <sharedItems containsSemiMixedTypes="0" containsString="0"/>
    </cacheField>
    <cacheField name="[Dim Fecha].[Mes].[Mes]" caption="Mes" numFmtId="0" hierarchy="7" level="1">
      <sharedItems containsSemiMixedTypes="0" containsString="0"/>
    </cacheField>
    <cacheField name="[Dim Fecha].[Semana].[Semana]" caption="Semana" numFmtId="0" hierarchy="10" level="1">
      <sharedItems containsSemiMixedTypes="0" containsString="0"/>
    </cacheField>
    <cacheField name="[Dim Productos].[Categoria].[Categoria]" caption="Categoria" numFmtId="0" hierarchy="17" level="1">
      <sharedItems containsSemiMixedTypes="0" containsString="0"/>
    </cacheField>
  </cacheFields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2" unbalanced="0">
      <fieldsUsage count="2">
        <fieldUsage x="-1"/>
        <fieldUsage x="6"/>
      </fieldsUsage>
    </cacheHierarchy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>
      <fieldsUsage count="2">
        <fieldUsage x="-1"/>
        <fieldUsage x="12"/>
      </fieldsUsage>
    </cacheHierarchy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0" unbalanced="0"/>
    <cacheHierarchy uniqueName="[Dim Fecha].[Semana]" caption="Semana" attribute="1" time="1" defaultMemberUniqueName="[Dim Fecha].[Semana].[All]" allUniqueName="[Dim Fecha].[Semana].[All]" dimensionUniqueName="[Dim Fecha]" displayFolder="" count="2" unbalanced="0">
      <fieldsUsage count="2">
        <fieldUsage x="-1"/>
        <fieldUsage x="13"/>
      </fieldsUsage>
    </cacheHierarchy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>
      <fieldsUsage count="2">
        <fieldUsage x="-1"/>
        <fieldUsage x="14"/>
      </fieldsUsage>
    </cacheHierarchy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2" unbalanced="0">
      <fieldsUsage count="2">
        <fieldUsage x="-1"/>
        <fieldUsage x="1"/>
      </fieldsUsage>
    </cacheHierarchy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0" unbalanced="0"/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>
      <fieldsUsage count="2">
        <fieldUsage x="-1"/>
        <fieldUsage x="9"/>
      </fieldsUsage>
    </cacheHierarchy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 oneField="1">
      <fieldsUsage count="1">
        <fieldUsage x="0"/>
      </fieldsUsage>
    </cacheHierarchy>
    <cacheHierarchy uniqueName="[Measures].[Recuentos únicos]" caption="Recuentos únicos" measure="1" displayFolder="" measureGroup="Pedidos únicos" count="0"/>
  </cacheHierarchies>
  <kpis count="0"/>
  <dimensions count="6">
    <dimension name="Dim Clientes" uniqueName="[Dim Clientes]" caption="Dim Clientes"/>
    <dimension name="Dim Fecha" uniqueName="[Dim Fecha]" caption="Dim Fecha"/>
    <dimension name="Dim Orden" uniqueName="[Dim Orden]" caption="Dim Orden"/>
    <dimension name="Dim Productos" uniqueName="[Dim Productos]" caption="Dim Productos"/>
    <dimension name="Dim Vendedores" uniqueName="[Dim Vendedores]" caption="Dim Vendedores"/>
    <dimension measure="1" name="Measures" uniqueName="[Measures]" caption="Measures"/>
  </dimensions>
  <measureGroups count="2">
    <measureGroup name="Fact Ventas" caption="Fact Ventas"/>
    <measureGroup name="Pedidos únicos" caption="Pedidos únicos"/>
  </measureGroups>
  <maps count="10">
    <map measureGroup="0" dimension="0"/>
    <map measureGroup="0" dimension="1"/>
    <map measureGroup="0" dimension="2"/>
    <map measureGroup="0" dimension="3"/>
    <map measureGroup="0" dimension="4"/>
    <map measureGroup="1" dimension="0"/>
    <map measureGroup="1" dimension="1"/>
    <map measureGroup="1" dimension="2"/>
    <map measureGroup="1" dimension="3"/>
    <map measureGroup="1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6824189817" backgroundQuery="1" createdVersion="8" refreshedVersion="8" minRefreshableVersion="3" recordCount="0" supportSubquery="1" supportAdvancedDrill="1" xr:uid="{F36F55DC-C391-45E3-84D6-9B89AC9A4ED5}">
  <cacheSource type="external" connectionId="1"/>
  <cacheFields count="8">
    <cacheField name="[Measures].[Monto Total]" caption="Monto Total" numFmtId="0" hierarchy="27" level="32767"/>
    <cacheField name="[Dim Fecha].[Nombre Mes].[Nombre Mes]" caption="Nombre Mes" numFmtId="0" hierarchy="9" level="1">
      <sharedItems count="3">
        <s v="[Dim Fecha].[Nombre Mes].&amp;[4]" c="Abril"/>
        <s v="[Dim Fecha].[Nombre Mes].&amp;[6]" c="Junio"/>
        <s v="[Dim Fecha].[Nombre Mes].&amp;[7]" c="Julio"/>
      </sharedItems>
    </cacheField>
    <cacheField name="[Dim Vendedores].[Vendedor].[Vendedor]" caption="Vendedor" numFmtId="0" hierarchy="24" level="1">
      <sharedItems containsSemiMixedTypes="0" containsString="0"/>
    </cacheField>
    <cacheField name="[Dim Vendedores].[Vendedor].[Vendedor].[Id Vendedor]" caption="Id Vendedor" propertyName="Id Vendedor" numFmtId="0" hierarchy="24" level="1" memberPropertyField="1">
      <sharedItems containsSemiMixedTypes="0" containsString="0"/>
    </cacheField>
    <cacheField name="[Dim Vendedores].[Vendedor].[Vendedor].[Tienda]" caption="Tienda" propertyName="Tienda" numFmtId="0" hierarchy="24" level="1" memberPropertyField="1">
      <sharedItems containsSemiMixedTypes="0" containsString="0"/>
    </cacheField>
    <cacheField name="[Dim Fecha].[Mes].[Mes]" caption="Mes" numFmtId="0" hierarchy="7" level="1">
      <sharedItems containsSemiMixedTypes="0" containsString="0"/>
    </cacheField>
    <cacheField name="[Dim Fecha].[Semana].[Semana]" caption="Semana" numFmtId="0" hierarchy="10" level="1">
      <sharedItems containsSemiMixedTypes="0" containsString="0"/>
    </cacheField>
    <cacheField name="[Dim Productos].[Categoria].[Categoria]" caption="Categoria" numFmtId="0" hierarchy="17" level="1">
      <sharedItems containsSemiMixedTypes="0" containsString="0"/>
    </cacheField>
  </cacheFields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0" unbalanced="0"/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>
      <fieldsUsage count="2">
        <fieldUsage x="-1"/>
        <fieldUsage x="5"/>
      </fieldsUsage>
    </cacheHierarchy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2" unbalanced="0">
      <fieldsUsage count="2">
        <fieldUsage x="-1"/>
        <fieldUsage x="1"/>
      </fieldsUsage>
    </cacheHierarchy>
    <cacheHierarchy uniqueName="[Dim Fecha].[Semana]" caption="Semana" attribute="1" time="1" defaultMemberUniqueName="[Dim Fecha].[Semana].[All]" allUniqueName="[Dim Fecha].[Semana].[All]" dimensionUniqueName="[Dim Fecha]" displayFolder="" count="2" unbalanced="0">
      <fieldsUsage count="2">
        <fieldUsage x="-1"/>
        <fieldUsage x="6"/>
      </fieldsUsage>
    </cacheHierarchy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>
      <fieldsUsage count="2">
        <fieldUsage x="-1"/>
        <fieldUsage x="7"/>
      </fieldsUsage>
    </cacheHierarchy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0" unbalanced="0"/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0" unbalanced="0"/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>
      <fieldsUsage count="2">
        <fieldUsage x="-1"/>
        <fieldUsage x="2"/>
      </fieldsUsage>
    </cacheHierarchy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 oneField="1">
      <fieldsUsage count="1">
        <fieldUsage x="0"/>
      </fieldsUsage>
    </cacheHierarchy>
    <cacheHierarchy uniqueName="[Measures].[Recuentos únicos]" caption="Recuentos únicos" measure="1" displayFolder="" measureGroup="Pedidos únicos" count="0"/>
  </cacheHierarchies>
  <kpis count="0"/>
  <dimensions count="6">
    <dimension name="Dim Clientes" uniqueName="[Dim Clientes]" caption="Dim Clientes"/>
    <dimension name="Dim Fecha" uniqueName="[Dim Fecha]" caption="Dim Fecha"/>
    <dimension name="Dim Orden" uniqueName="[Dim Orden]" caption="Dim Orden"/>
    <dimension name="Dim Productos" uniqueName="[Dim Productos]" caption="Dim Productos"/>
    <dimension name="Dim Vendedores" uniqueName="[Dim Vendedores]" caption="Dim Vendedores"/>
    <dimension measure="1" name="Measures" uniqueName="[Measures]" caption="Measures"/>
  </dimensions>
  <measureGroups count="2">
    <measureGroup name="Fact Ventas" caption="Fact Ventas"/>
    <measureGroup name="Pedidos únicos" caption="Pedidos únicos"/>
  </measureGroups>
  <maps count="10">
    <map measureGroup="0" dimension="0"/>
    <map measureGroup="0" dimension="1"/>
    <map measureGroup="0" dimension="2"/>
    <map measureGroup="0" dimension="3"/>
    <map measureGroup="0" dimension="4"/>
    <map measureGroup="1" dimension="0"/>
    <map measureGroup="1" dimension="1"/>
    <map measureGroup="1" dimension="2"/>
    <map measureGroup="1" dimension="3"/>
    <map measureGroup="1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7807175925" backgroundQuery="1" createdVersion="8" refreshedVersion="8" minRefreshableVersion="3" recordCount="0" supportSubquery="1" supportAdvancedDrill="1" xr:uid="{E9350A08-0A55-4615-B718-289E7C34D4FE}">
  <cacheSource type="external" connectionId="1"/>
  <cacheFields count="7">
    <cacheField name="[Measures].[Monto Total]" caption="Monto Total" numFmtId="0" hierarchy="27" level="32767"/>
    <cacheField name="[Dim Productos].[Producto].[Producto]" caption="Producto" numFmtId="0" hierarchy="21" level="1">
      <sharedItems count="3">
        <s v="[Dim Productos].[Producto].&amp;[70]" c="Bicicleta de ruta"/>
        <s v="[Dim Productos].[Producto].&amp;[1]" c="Bicicleta eléctrica urbana"/>
        <s v="[Dim Productos].[Producto].&amp;[46]" c="Bicicleta eléctrica urbana"/>
      </sharedItems>
    </cacheField>
    <cacheField name="[Dim Productos].[Producto].[Producto].[Categoria]" caption="Categoria" propertyName="Categoria" numFmtId="0" hierarchy="21" level="1" memberPropertyField="1">
      <sharedItems containsSemiMixedTypes="0" containsString="0"/>
    </cacheField>
    <cacheField name="[Dim Productos].[Producto].[Producto].[Id Producto]" caption="Id Producto" propertyName="Id Producto" numFmtId="0" hierarchy="21" level="1" memberPropertyField="1">
      <sharedItems containsSemiMixedTypes="0" containsString="0"/>
    </cacheField>
    <cacheField name="[Dim Productos].[Producto].[Producto].[Marca]" caption="Marca" propertyName="Marca" numFmtId="0" hierarchy="21" level="1" memberPropertyField="1">
      <sharedItems containsSemiMixedTypes="0" containsString="0"/>
    </cacheField>
    <cacheField name="[Dim Productos].[Producto].[Producto].[Modelo]" caption="Modelo" propertyName="Modelo" numFmtId="0" hierarchy="21" level="1" memberPropertyField="1">
      <sharedItems containsSemiMixedTypes="0" containsString="0"/>
    </cacheField>
    <cacheField name="[Measures].[Recuentos únicos]" caption="Recuentos únicos" numFmtId="0" hierarchy="28" level="32767"/>
  </cacheFields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0" unbalanced="0"/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/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0" unbalanced="0"/>
    <cacheHierarchy uniqueName="[Dim Fecha].[Semana]" caption="Semana" attribute="1" time="1" defaultMemberUniqueName="[Dim Fecha].[Semana].[All]" allUniqueName="[Dim Fecha].[Semana].[All]" dimensionUniqueName="[Dim Fecha]" displayFolder="" count="2" unbalanced="0"/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/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2" unbalanced="0">
      <fieldsUsage count="2">
        <fieldUsage x="-1"/>
        <fieldUsage x="1"/>
      </fieldsUsage>
    </cacheHierarchy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0" unbalanced="0"/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/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 oneField="1">
      <fieldsUsage count="1">
        <fieldUsage x="0"/>
      </fieldsUsage>
    </cacheHierarchy>
    <cacheHierarchy uniqueName="[Measures].[Recuentos únicos]" caption="Recuentos únicos" measure="1" displayFolder="" measureGroup="Pedidos únicos" count="0" oneField="1">
      <fieldsUsage count="1">
        <fieldUsage x="6"/>
      </fieldsUsage>
    </cacheHierarchy>
  </cacheHierarchies>
  <kpis count="0"/>
  <dimensions count="6">
    <dimension name="Dim Clientes" uniqueName="[Dim Clientes]" caption="Dim Clientes"/>
    <dimension name="Dim Fecha" uniqueName="[Dim Fecha]" caption="Dim Fecha"/>
    <dimension name="Dim Orden" uniqueName="[Dim Orden]" caption="Dim Orden"/>
    <dimension name="Dim Productos" uniqueName="[Dim Productos]" caption="Dim Productos"/>
    <dimension name="Dim Vendedores" uniqueName="[Dim Vendedores]" caption="Dim Vendedores"/>
    <dimension measure="1" name="Measures" uniqueName="[Measures]" caption="Measures"/>
  </dimensions>
  <measureGroups count="2">
    <measureGroup name="Fact Ventas" caption="Fact Ventas"/>
    <measureGroup name="Pedidos únicos" caption="Pedidos únicos"/>
  </measureGroups>
  <maps count="10">
    <map measureGroup="0" dimension="0"/>
    <map measureGroup="0" dimension="1"/>
    <map measureGroup="0" dimension="2"/>
    <map measureGroup="0" dimension="3"/>
    <map measureGroup="0" dimension="4"/>
    <map measureGroup="1" dimension="0"/>
    <map measureGroup="1" dimension="1"/>
    <map measureGroup="1" dimension="2"/>
    <map measureGroup="1" dimension="3"/>
    <map measureGroup="1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JUNIOR BRAVO SANCHEZ" refreshedDate="45835.926820370369" backgroundQuery="1" createdVersion="3" refreshedVersion="8" minRefreshableVersion="3" recordCount="0" supportSubquery="1" supportAdvancedDrill="1" xr:uid="{3B15C8BF-BE50-4980-A4DC-04F6F9F6817F}">
  <cacheSource type="external" connectionId="1">
    <extLst>
      <ext xmlns:x14="http://schemas.microsoft.com/office/spreadsheetml/2009/9/main" uri="{F057638F-6D5F-4e77-A914-E7F072B9BCA8}">
        <x14:sourceConnection name=". Cubo Datamart BiciMundo Cubo BiciMundo Data Mart"/>
      </ext>
    </extLst>
  </cacheSource>
  <cacheFields count="0"/>
  <cacheHierarchies count="29">
    <cacheHierarchy uniqueName="[Dim Clientes].[Cliente]" caption="Cliente" attribute="1" keyAttribute="1" defaultMemberUniqueName="[Dim Clientes].[Cliente].[All]" allUniqueName="[Dim Clientes].[Cliente].[All]" dimensionUniqueName="[Dim Clientes]" displayFolder="" count="0" unbalanced="0"/>
    <cacheHierarchy uniqueName="[Dim Clientes].[Distrito]" caption="Distrito" attribute="1" defaultMemberUniqueName="[Dim Clientes].[Distrito].[All]" allUniqueName="[Dim Clientes].[Distrito].[All]" dimensionUniqueName="[Dim Clientes]" displayFolder="" count="0" unbalanced="0"/>
    <cacheHierarchy uniqueName="[Dim Clientes].[Id Cliente]" caption="Id Cliente" attribute="1" defaultMemberUniqueName="[Dim Clientes].[Id Cliente].[All]" allUniqueName="[Dim Clientes].[Id Cliente].[All]" dimensionUniqueName="[Dim Clientes]" displayFolder="" count="0" unbalanced="0"/>
    <cacheHierarchy uniqueName="[Dim Fecha].[Anio]" caption="Anio" attribute="1" time="1" defaultMemberUniqueName="[Dim Fecha].[Anio].[All]" allUniqueName="[Dim Fecha].[Anio].[All]" dimensionUniqueName="[Dim Fecha]" displayFolder="" count="0" unbalanced="0"/>
    <cacheHierarchy uniqueName="[Dim Fecha].[Dia]" caption="Dia" attribute="1" time="1" defaultMemberUniqueName="[Dim Fecha].[Dia].[All]" allUniqueName="[Dim Fecha].[Dia].[All]" dimensionUniqueName="[Dim Fecha]" displayFolder="" count="0" unbalanced="0"/>
    <cacheHierarchy uniqueName="[Dim Fecha].[Dia Semana]" caption="Dia Semana" attribute="1" time="1" defaultMemberUniqueName="[Dim Fecha].[Dia Semana].[All]" allUniqueName="[Dim Fecha].[Dia Semana].[All]" dimensionUniqueName="[Dim Fecha]" displayFolder="" count="0" unbalanced="0"/>
    <cacheHierarchy uniqueName="[Dim Fecha].[Fecha]" caption="Fecha" attribute="1" time="1" keyAttribute="1" defaultMemberUniqueName="[Dim Fecha].[Fecha].[All]" allUniqueName="[Dim Fecha].[Fecha].[All]" dimensionUniqueName="[Dim Fecha]" displayFolder="" count="0" memberValueDatatype="130" unbalanced="0"/>
    <cacheHierarchy uniqueName="[Dim Fecha].[Mes]" caption="Mes" attribute="1" time="1" defaultMemberUniqueName="[Dim Fecha].[Mes].[All]" allUniqueName="[Dim Fecha].[Mes].[All]" dimensionUniqueName="[Dim Fecha]" displayFolder="" count="2" unbalanced="0"/>
    <cacheHierarchy uniqueName="[Dim Fecha].[Nombre Dia]" caption="Nombre Dia" attribute="1" time="1" defaultMemberUniqueName="[Dim Fecha].[Nombre Dia].[All]" allUniqueName="[Dim Fecha].[Nombre Dia].[All]" dimensionUniqueName="[Dim Fecha]" displayFolder="" count="0" unbalanced="0"/>
    <cacheHierarchy uniqueName="[Dim Fecha].[Nombre Mes]" caption="Nombre Mes" attribute="1" time="1" defaultMemberUniqueName="[Dim Fecha].[Nombre Mes].[All]" allUniqueName="[Dim Fecha].[Nombre Mes].[All]" dimensionUniqueName="[Dim Fecha]" displayFolder="" count="0" unbalanced="0"/>
    <cacheHierarchy uniqueName="[Dim Fecha].[Semana]" caption="Semana" attribute="1" time="1" defaultMemberUniqueName="[Dim Fecha].[Semana].[All]" allUniqueName="[Dim Fecha].[Semana].[All]" dimensionUniqueName="[Dim Fecha]" displayFolder="" count="2" unbalanced="0"/>
    <cacheHierarchy uniqueName="[Dim Fecha].[Trimestre]" caption="Trimestre" attribute="1" time="1" defaultMemberUniqueName="[Dim Fecha].[Trimestre].[All]" allUniqueName="[Dim Fecha].[Trimestre].[All]" dimensionUniqueName="[Dim Fecha]" displayFolder="" count="0" unbalanced="0"/>
    <cacheHierarchy uniqueName="[Dim Orden].[Cliente Nombre]" caption="Cliente Nombre" attribute="1" defaultMemberUniqueName="[Dim Orden].[Cliente Nombre].[All]" allUniqueName="[Dim Orden].[Cliente Nombre].[All]" dimensionUniqueName="[Dim Orden]" displayFolder="" count="0" unbalanced="0"/>
    <cacheHierarchy uniqueName="[Dim Orden].[Fecha]" caption="Fecha" attribute="1" defaultMemberUniqueName="[Dim Orden].[Fecha].[All]" allUniqueName="[Dim Orden].[Fecha].[All]" dimensionUniqueName="[Dim Orden]" displayFolder="" count="0" unbalanced="0"/>
    <cacheHierarchy uniqueName="[Dim Orden].[Orden]" caption="Orden" attribute="1" keyAttribute="1" defaultMemberUniqueName="[Dim Orden].[Orden].[All]" allUniqueName="[Dim Orden].[Orden].[All]" dimensionUniqueName="[Dim Orden]" displayFolder="" count="0" unbalanced="0"/>
    <cacheHierarchy uniqueName="[Dim Orden].[Tipo Entrega]" caption="Tipo Entrega" attribute="1" defaultMemberUniqueName="[Dim Orden].[Tipo Entrega].[All]" allUniqueName="[Dim Orden].[Tipo Entrega].[All]" dimensionUniqueName="[Dim Orden]" displayFolder="" count="0" unbalanced="0"/>
    <cacheHierarchy uniqueName="[Dim Orden].[Vendedor Nombre]" caption="Vendedor Nombre" attribute="1" defaultMemberUniqueName="[Dim Orden].[Vendedor Nombre].[All]" allUniqueName="[Dim Orden].[Vendedor Nombre].[All]" dimensionUniqueName="[Dim Orden]" displayFolder="" count="0" unbalanced="0"/>
    <cacheHierarchy uniqueName="[Dim Productos].[Categoria]" caption="Categoria" attribute="1" defaultMemberUniqueName="[Dim Productos].[Categoria].[All]" allUniqueName="[Dim Productos].[Categoria].[All]" dimensionUniqueName="[Dim Productos]" displayFolder="" count="2" unbalanced="0"/>
    <cacheHierarchy uniqueName="[Dim Productos].[Id Producto]" caption="Id Producto" attribute="1" defaultMemberUniqueName="[Dim Productos].[Id Producto].[All]" allUniqueName="[Dim Productos].[Id Producto].[All]" dimensionUniqueName="[Dim Productos]" displayFolder="" count="0" unbalanced="0"/>
    <cacheHierarchy uniqueName="[Dim Productos].[Marca]" caption="Marca" attribute="1" defaultMemberUniqueName="[Dim Productos].[Marca].[All]" allUniqueName="[Dim Productos].[Marca].[All]" dimensionUniqueName="[Dim Productos]" displayFolder="" count="0" unbalanced="0"/>
    <cacheHierarchy uniqueName="[Dim Productos].[Modelo]" caption="Modelo" attribute="1" defaultMemberUniqueName="[Dim Productos].[Modelo].[All]" allUniqueName="[Dim Productos].[Modelo].[All]" dimensionUniqueName="[Dim Productos]" displayFolder="" count="0" unbalanced="0"/>
    <cacheHierarchy uniqueName="[Dim Productos].[Producto]" caption="Producto" attribute="1" keyAttribute="1" defaultMemberUniqueName="[Dim Productos].[Producto].[All]" allUniqueName="[Dim Productos].[Producto].[All]" dimensionUniqueName="[Dim Productos]" displayFolder="" count="0" unbalanced="0"/>
    <cacheHierarchy uniqueName="[Dim Vendedores].[Id Vendedor]" caption="Id Vendedor" attribute="1" defaultMemberUniqueName="[Dim Vendedores].[Id Vendedor].[All]" allUniqueName="[Dim Vendedores].[Id Vendedor].[All]" dimensionUniqueName="[Dim Vendedores]" displayFolder="" count="0" unbalanced="0"/>
    <cacheHierarchy uniqueName="[Dim Vendedores].[Tienda]" caption="Tienda" attribute="1" defaultMemberUniqueName="[Dim Vendedores].[Tienda].[All]" allUniqueName="[Dim Vendedores].[Tienda].[All]" dimensionUniqueName="[Dim Vendedores]" displayFolder="" count="0" unbalanced="0"/>
    <cacheHierarchy uniqueName="[Dim Vendedores].[Vendedor]" caption="Vendedor" attribute="1" keyAttribute="1" defaultMemberUniqueName="[Dim Vendedores].[Vendedor].[All]" allUniqueName="[Dim Vendedores].[Vendedor].[All]" dimensionUniqueName="[Dim Vendedores]" displayFolder="" count="2" unbalanced="0"/>
    <cacheHierarchy uniqueName="[Measures].[Cantidad]" caption="Cantidad" measure="1" displayFolder="" measureGroup="Fact Ventas" count="0"/>
    <cacheHierarchy uniqueName="[Measures].[Precio Unitario]" caption="Precio Unitario" measure="1" displayFolder="" measureGroup="Fact Ventas" count="0"/>
    <cacheHierarchy uniqueName="[Measures].[Monto Total]" caption="Monto Total" measure="1" displayFolder="" measureGroup="Fact Ventas" count="0"/>
    <cacheHierarchy uniqueName="[Measures].[Recuentos únicos]" caption="Recuentos únicos" measure="1" displayFolder="" measureGroup="Pedidos únicos" count="0"/>
  </cacheHierarchies>
  <kpis count="0"/>
  <extLst>
    <ext xmlns:x14="http://schemas.microsoft.com/office/spreadsheetml/2009/9/main" uri="{725AE2AE-9491-48be-B2B4-4EB974FC3084}">
      <x14:pivotCacheDefinition slicerData="1" pivotCacheId="111978720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8D1EE-45E1-424E-BF62-3604F03B955D}" name="TablaDinámica7" cacheId="67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7" fieldListSortAscending="1">
  <location ref="A25:B26" firstHeaderRow="0" firstDataRow="1" firstDataCol="0"/>
  <pivotFields count="7">
    <pivotField dataField="1" subtotalTop="0" showAll="0" defaultSubtotal="0"/>
    <pivotField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baseField="0" baseItem="0" numFmtId="164"/>
    <dataField fld="6" baseField="0" baseItem="0"/>
  </dataFields>
  <chartFormats count="3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>
      <mps count="4">
        <mp field="2"/>
        <mp field="3"/>
        <mp field="4"/>
        <mp field="5"/>
      </mps>
    </pivotHierarchy>
    <pivotHierarchy/>
    <pivotHierarchy/>
    <pivotHierarchy multipleItemSelectionAllowed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7">
      <autoFilter ref="A1">
        <filterColumn colId="0">
          <top10 val="3" filterVal="3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8518D-2E44-4D87-8892-5740B38032DA}" name="TablaDinámica6" cacheId="66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2" fieldListSortAscending="1">
  <location ref="D15:E19" firstHeaderRow="1" firstDataRow="1" firstDataCol="1"/>
  <pivotFields count="15">
    <pivotField dataField="1" subtotalTop="0" showAll="0" defaultSubtotal="0"/>
    <pivotField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 numFmtId="164"/>
  </dataFields>
  <chartFormats count="4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>
      <mps count="2">
        <mp field="7"/>
        <mp field="8"/>
      </mps>
    </pivotHierarchy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>
      <mps count="4">
        <mp field="2"/>
        <mp field="3"/>
        <mp field="4"/>
        <mp field="5"/>
      </mps>
    </pivotHierarchy>
    <pivotHierarchy/>
    <pivotHierarchy/>
    <pivotHierarchy multipleItemSelectionAllowed="1">
      <mps count="2">
        <mp field="10"/>
        <mp field="11"/>
      </mp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27">
      <autoFilter ref="A1">
        <filterColumn colId="0">
          <top10 val="3" filterVal="3"/>
        </filterColumn>
      </autoFilter>
    </filter>
    <filter fld="6" type="count" id="2" iMeasureHier="27">
      <autoFilter ref="A1">
        <filterColumn colId="0">
          <top10 val="3" filterVal="3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937E5-E948-4CE4-92FE-3D6AEBAB8138}" name="TablaDinámica5" cacheId="66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7" fieldListSortAscending="1">
  <location ref="A15:B19" firstHeaderRow="1" firstDataRow="1" firstDataCol="1"/>
  <pivotFields count="12">
    <pivotField dataField="1" subtotalTop="0" showAll="0" defaultSubtotal="0"/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2"/>
    </i>
    <i>
      <x v="1"/>
    </i>
    <i t="grand">
      <x/>
    </i>
  </rowItems>
  <colItems count="1">
    <i/>
  </colItems>
  <dataFields count="1">
    <dataField fld="0" baseField="0" baseItem="0" numFmtId="164"/>
  </dataFields>
  <chartFormats count="3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>
      <mps count="4">
        <mp field="2"/>
        <mp field="3"/>
        <mp field="4"/>
        <mp field="5"/>
      </mps>
    </pivotHierarchy>
    <pivotHierarchy/>
    <pivotHierarchy/>
    <pivotHierarchy multipleItemSelectionAllowed="1">
      <mps count="2">
        <mp field="7"/>
        <mp field="8"/>
      </mp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7">
      <autoFilter ref="A1">
        <filterColumn colId="0">
          <top10 val="3" filterVal="3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03DD-6AD6-401A-AB01-926764AB0AC1}" name="TablaDinámica4" cacheId="67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 fieldListSortAscending="1">
  <location ref="D1:E5" firstHeaderRow="1" firstDataRow="1" firstDataCol="1"/>
  <pivotFields count="8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 numFmtId="164"/>
  </dataFields>
  <chartFormats count="2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>
      <mps count="2">
        <mp field="3"/>
        <mp field="4"/>
      </mp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E765B-7E1C-43C5-9269-4CD71A2BA7EB}" name="TablaDinámica1" cacheId="66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 fieldListSortAscending="1">
  <location ref="A1:B12" firstHeaderRow="1" firstDataRow="1" firstDataCol="1"/>
  <pivotFields count="8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subtotalTop="0" showAll="0" dataSourceSort="1" defaultSubtotal="0" showPropTip="1"/>
    <pivotField subtotalTop="0" showAll="0" dataSourceSort="1" defaultSubtotal="0" showPropTip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0" baseItem="0"/>
  </dataFields>
  <chartFormats count="11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>
      <mps count="2">
        <mp field="4"/>
        <mp field="5"/>
      </mp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83E8B9DD-7B68-4DAC-A66F-CCC2D8E53F2E}" sourceName="[Dim Vendedores].[Vendedor]">
  <pivotTables>
    <pivotTable tabId="1" name="TablaDinámica1"/>
    <pivotTable tabId="1" name="TablaDinámica4"/>
    <pivotTable tabId="1" name="TablaDinámica5"/>
    <pivotTable tabId="1" name="TablaDinámica6"/>
    <pivotTable tabId="1" name="TablaDinámica7"/>
  </pivotTables>
  <data>
    <olap pivotCacheId="1119787207">
      <levels count="2">
        <level uniqueName="[Dim Vendedores].[Vendedor].[(All)]" sourceCaption="(All)" count="0"/>
        <level uniqueName="[Dim Vendedores].[Vendedor].[Vendedor]" sourceCaption="Vendedor" count="91">
          <ranges>
            <range startItem="0">
              <i n="[Dim Vendedores].[Vendedor].&amp;[46]" c="Alejandra Cáceres"/>
              <i n="[Dim Vendedores].[Vendedor].&amp;[25]" c="Alonso Peña"/>
              <i n="[Dim Vendedores].[Vendedor].&amp;[4]" c="Ana Torres"/>
              <i n="[Dim Vendedores].[Vendedor].&amp;[17]" c="Andrés Guerrero"/>
              <i n="[Dim Vendedores].[Vendedor].&amp;[42]" c="Angela Vásquez"/>
              <i n="[Dim Vendedores].[Vendedor].&amp;[54]" c="Araceli Peralta"/>
              <i n="[Dim Vendedores].[Vendedor].&amp;[19]" c="Bruno Morales"/>
              <i n="[Dim Vendedores].[Vendedor].&amp;[12]" c="Camila Reyes"/>
              <i n="[Dim Vendedores].[Vendedor].&amp;[3]" c="Carlos Ramírez"/>
              <i n="[Dim Vendedores].[Vendedor].&amp;[24]" c="Cecilia Santos"/>
              <i n="[Dim Vendedores].[Vendedor].&amp;[28]" c="Claudia Gutiérrez"/>
              <i n="[Dim Vendedores].[Vendedor].&amp;[37]" c="Cristian Soto"/>
              <i n="[Dim Vendedores].[Vendedor].&amp;[14]" c="Daniela Ortega"/>
              <i n="[Dim Vendedores].[Vendedor].&amp;[40]" c="Denisse Quispe"/>
              <i n="[Dim Vendedores].[Vendedor].&amp;[52]" c="Diana Caballero"/>
              <i n="[Dim Vendedores].[Vendedor].&amp;[11]" c="Diego Mendoza"/>
              <i n="[Dim Vendedores].[Vendedor].&amp;[21]" c="Eduardo Paredes"/>
              <i n="[Dim Vendedores].[Vendedor].&amp;[58]" c="Elena Meza"/>
              <i n="[Dim Vendedores].[Vendedor].&amp;[47]" c="Enrique Zamora"/>
              <i n="[Dim Vendedores].[Vendedor].&amp;[57]" c="Esteban Acosta"/>
              <i n="[Dim Vendedores].[Vendedor].&amp;[41]" c="Fabián Mejía"/>
              <i n="[Dim Vendedores].[Vendedor].&amp;[55]" c="Felipe Huerta"/>
              <i n="[Dim Vendedores].[Vendedor].&amp;[15]" c="Fernando Silva"/>
              <i n="[Dim Vendedores].[Vendedor].&amp;[34]" c="Fiorella Cruz"/>
              <i n="[Dim Vendedores].[Vendedor].&amp;[22]" c="Flor Chávez"/>
              <i n="[Dim Vendedores].[Vendedor].&amp;[20]" c="Gabriela Vera"/>
              <i n="[Dim Vendedores].[Vendedor].&amp;[53]" c="Gerardo Palacios"/>
              <i n="[Dim Vendedores].[Vendedor].&amp;[45]" c="Gustavo Paz"/>
              <i n="[Dim Vendedores].[Vendedor].&amp;[43]" c="Héctor Sandoval"/>
              <i n="[Dim Vendedores].[Vendedor].&amp;[31]" c="Iván Gonzales"/>
              <i n="[Dim Vendedores].[Vendedor].&amp;[39]" c="Javier Aguilar"/>
              <i n="[Dim Vendedores].[Vendedor].&amp;[7]" c="José Rojas"/>
              <i n="[Dim Vendedores].[Vendedor].&amp;[1]" c="Juan Pérez"/>
              <i n="[Dim Vendedores].[Vendedor].&amp;[30]" c="Karina Barrios"/>
              <i n="[Dim Vendedores].[Vendedor].&amp;[8]" c="Laura Fernández"/>
              <i n="[Dim Vendedores].[Vendedor].&amp;[38]" c="Liliana Mora"/>
              <i n="[Dim Vendedores].[Vendedor].&amp;[10]" c="Lucía Delgado"/>
              <i n="[Dim Vendedores].[Vendedor].&amp;[5]" c="Luis Vargas"/>
              <i n="[Dim Vendedores].[Vendedor].&amp;[44]" c="Luisa Valdez"/>
              <i n="[Dim Vendedores].[Vendedor].&amp;[2]" c="María Gómez"/>
              <i n="[Dim Vendedores].[Vendedor].&amp;[23]" c="Martín Montoya"/>
              <i n="[Dim Vendedores].[Vendedor].&amp;[33]" c="Mauricio López"/>
              <i n="[Dim Vendedores].[Vendedor].&amp;[9]" c="Miguel Salazar"/>
              <i n="[Dim Vendedores].[Vendedor].&amp;[48]" c="Mónica Becerra"/>
              <i n="[Dim Vendedores].[Vendedor].&amp;[50]" c="Natalia Espinoza"/>
              <i n="[Dim Vendedores].[Vendedor].&amp;[18]" c="Nicole Cárdenas"/>
              <i n="[Dim Vendedores].[Vendedor].&amp;[35]" c="Óscar Ruiz"/>
              <i n="[Dim Vendedores].[Vendedor].&amp;[29]" c="Pablo Campos"/>
              <i n="[Dim Vendedores].[Vendedor].&amp;[36]" c="Paola Herrera"/>
              <i n="[Dim Vendedores].[Vendedor].&amp;[26]" c="Patricia Rosales"/>
              <i n="[Dim Vendedores].[Vendedor].&amp;[49]" c="Raúl Arroyo"/>
              <i n="[Dim Vendedores].[Vendedor].&amp;[13]" c="Ricardo Ibarra"/>
              <i n="[Dim Vendedores].[Vendedor].&amp;[51]" c="Rodrigo Medina"/>
              <i n="[Dim Vendedores].[Vendedor].&amp;[56]" c="Sandra Rivas"/>
              <i n="[Dim Vendedores].[Vendedor].&amp;[27]" c="Sebastián Del Águila"/>
              <i n="[Dim Vendedores].[Vendedor].&amp;[6]" c="Sofía Castro"/>
              <i n="[Dim Vendedores].[Vendedor].&amp;[59]" c="Tomás Bravo"/>
              <i n="[Dim Vendedores].[Vendedor].&amp;[16]" c="Valeria Navarro"/>
              <i n="[Dim Vendedores].[Vendedor].&amp;[32]" c="Vanessa Alvarado"/>
              <i n="[Dim Vendedores].[Vendedor].&amp;[60]" c="Verónica Luna"/>
              <i n="[Dim Vendedores].[Vendedor].&amp;[85]" c="Agustín Reyes" nd="1"/>
              <i n="[Dim Vendedores].[Vendedor].&amp;[63]" c="Alberto Salinas" nd="1"/>
              <i n="[Dim Vendedores].[Vendedor].&amp;[71]" c="Álvaro Delgado" nd="1"/>
              <i n="[Dim Vendedores].[Vendedor].&amp;[87]" c="Ángel Mamani" nd="1"/>
              <i n="[Dim Vendedores].[Vendedor].&amp;[73]" c="Arturo Córdova" nd="1"/>
              <i n="[Dim Vendedores].[Vendedor].&amp;[75]" c="Benjamín Guizado" nd="1"/>
              <i n="[Dim Vendedores].[Vendedor].&amp;[69]" c="Beto Meneses" nd="1"/>
              <i n="[Dim Vendedores].[Vendedor].&amp;[82]" c="Camila Pizarro" nd="1"/>
              <i n="[Dim Vendedores].[Vendedor].&amp;[68]" c="Carla Escobar" nd="1"/>
              <i n="[Dim Vendedores].[Vendedor].&amp;[79]" c="César Amaya" nd="1"/>
              <i n="[Dim Vendedores].[Vendedor].&amp;[74]" c="Clara Villanueva" nd="1"/>
              <i n="[Dim Vendedores].[Vendedor].&amp;[89]" c="Dilan Sánchez" nd="1"/>
              <i n="[Dim Vendedores].[Vendedor].&amp;[67]" c="Francisco Galván" nd="1"/>
              <i n="[Dim Vendedores].[Vendedor].&amp;[83]" c="Guillermo Sanchez" nd="1"/>
              <i n="[Dim Vendedores].[Vendedor].&amp;[61]" c="Hugo Valverde" nd="1"/>
              <i n="[Dim Vendedores].[Vendedor].&amp;[84]" c="Janet Mansilla" nd="1"/>
              <i n="[Dim Vendedores].[Vendedor].&amp;[64]" c="Jessica Sánchez" nd="1"/>
              <i n="[Dim Vendedores].[Vendedor].&amp;[62]" c="Lorena Cuellar" nd="1"/>
              <i n="[Dim Vendedores].[Vendedor].&amp;[72]" c="Lorena Silva" nd="1"/>
              <i n="[Dim Vendedores].[Vendedor].&amp;[66]" c="Marisol Nieto" nd="1"/>
              <i n="[Dim Vendedores].[Vendedor].&amp;[86]" c="Melina Carrillo" nd="1"/>
              <i n="[Dim Vendedores].[Vendedor].&amp;[90]" c="Micaela Vidal" nd="1"/>
              <i n="[Dim Vendedores].[Vendedor].&amp;[80]" c="Mirtha Vallejos" nd="1"/>
              <i n="[Dim Vendedores].[Vendedor].&amp;[78]" c="Nataly Huamán" nd="1"/>
              <i n="[Dim Vendedores].[Vendedor].&amp;[65]" c="Ramiro Torrealva" nd="1"/>
              <i n="[Dim Vendedores].[Vendedor].&amp;[81]" c="Renato Bravo" nd="1"/>
              <i n="[Dim Vendedores].[Vendedor].&amp;[70]" c="Romina Quinteros" nd="1"/>
              <i n="[Dim Vendedores].[Vendedor].&amp;[77]" c="Samuel Montenegro" nd="1"/>
              <i n="[Dim Vendedores].[Vendedor].&amp;[88]" c="Tatiana López" nd="1"/>
              <i n="[Dim Vendedores].[Vendedor].&amp;[76]" c="Tatiana Palomino" nd="1"/>
              <i n="[Dim Vendedores].[Vendedor].[All].UNKNOWNMEMBER" c="Unknown" nd="1"/>
            </range>
          </ranges>
        </level>
      </levels>
      <selections count="1">
        <selection n="[Dim Vendedores].[Vendedo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 Vendedores].[Vendedor].[Vendedor]" count="3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2D755EFA-D379-400B-8FF4-BA0339BCC432}" sourceName="[Dim Fecha].[Mes]">
  <pivotTables>
    <pivotTable tabId="1" name="TablaDinámica1"/>
    <pivotTable tabId="1" name="TablaDinámica4"/>
    <pivotTable tabId="1" name="TablaDinámica5"/>
    <pivotTable tabId="1" name="TablaDinámica6"/>
    <pivotTable tabId="1" name="TablaDinámica7"/>
  </pivotTables>
  <data>
    <olap pivotCacheId="1119787207">
      <levels count="2">
        <level uniqueName="[Dim Fecha].[Mes].[(All)]" sourceCaption="(All)" count="0"/>
        <level uniqueName="[Dim Fecha].[Mes].[Mes]" sourceCaption="Mes" count="13">
          <ranges>
            <range startItem="0">
              <i n="[Dim Fecha].[Mes].&amp;[4]" c="4"/>
              <i n="[Dim Fecha].[Mes].&amp;[6]" c="6"/>
              <i n="[Dim Fecha].[Mes].&amp;[7]" c="7"/>
              <i n="[Dim Fecha].[Mes].&amp;[1]" c="1" nd="1"/>
              <i n="[Dim Fecha].[Mes].&amp;[2]" c="2" nd="1"/>
              <i n="[Dim Fecha].[Mes].&amp;[3]" c="3" nd="1"/>
              <i n="[Dim Fecha].[Mes].&amp;[5]" c="5" nd="1"/>
              <i n="[Dim Fecha].[Mes].&amp;[8]" c="8" nd="1"/>
              <i n="[Dim Fecha].[Mes].&amp;[9]" c="9" nd="1"/>
              <i n="[Dim Fecha].[Mes].&amp;[10]" c="10" nd="1"/>
              <i n="[Dim Fecha].[Mes].&amp;[11]" c="11" nd="1"/>
              <i n="[Dim Fecha].[Mes].&amp;[12]" c="12" nd="1"/>
              <i n="[Dim Fecha].[Mes].[All].UNKNOWNMEMBER" c="Unknown" nd="1"/>
            </range>
          </ranges>
        </level>
      </levels>
      <selections count="1">
        <selection n="[Dim Fecha].[Me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 Fecha].[Mes].[Mes]" count="1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" xr10:uid="{3828888C-36DD-4E95-BB68-1FC1344CF8CB}" sourceName="[Dim Fecha].[Semana]">
  <pivotTables>
    <pivotTable tabId="1" name="TablaDinámica1"/>
    <pivotTable tabId="1" name="TablaDinámica4"/>
    <pivotTable tabId="1" name="TablaDinámica5"/>
    <pivotTable tabId="1" name="TablaDinámica6"/>
    <pivotTable tabId="1" name="TablaDinámica7"/>
  </pivotTables>
  <data>
    <olap pivotCacheId="1119787207">
      <levels count="2">
        <level uniqueName="[Dim Fecha].[Semana].[(All)]" sourceCaption="(All)" count="0"/>
        <level uniqueName="[Dim Fecha].[Semana].[Semana]" sourceCaption="Semana" count="54">
          <ranges>
            <range startItem="0">
              <i n="[Dim Fecha].[Semana].&amp;[18]" c="18"/>
              <i n="[Dim Fecha].[Semana].&amp;[22]" c="22"/>
              <i n="[Dim Fecha].[Semana].&amp;[23]" c="23"/>
              <i n="[Dim Fecha].[Semana].&amp;[24]" c="24"/>
              <i n="[Dim Fecha].[Semana].&amp;[25]" c="25"/>
              <i n="[Dim Fecha].[Semana].&amp;[26]" c="26"/>
              <i n="[Dim Fecha].[Semana].&amp;[27]" c="27"/>
              <i n="[Dim Fecha].[Semana].&amp;[28]" c="28"/>
              <i n="[Dim Fecha].[Semana].&amp;[29]" c="29"/>
              <i n="[Dim Fecha].[Semana].&amp;[30]" c="30"/>
              <i n="[Dim Fecha].[Semana].&amp;[31]" c="31"/>
              <i n="[Dim Fecha].[Semana].&amp;[1]" c="1" nd="1"/>
              <i n="[Dim Fecha].[Semana].&amp;[2]" c="2" nd="1"/>
              <i n="[Dim Fecha].[Semana].&amp;[3]" c="3" nd="1"/>
              <i n="[Dim Fecha].[Semana].&amp;[4]" c="4" nd="1"/>
              <i n="[Dim Fecha].[Semana].&amp;[5]" c="5" nd="1"/>
              <i n="[Dim Fecha].[Semana].&amp;[6]" c="6" nd="1"/>
              <i n="[Dim Fecha].[Semana].&amp;[7]" c="7" nd="1"/>
              <i n="[Dim Fecha].[Semana].&amp;[8]" c="8" nd="1"/>
              <i n="[Dim Fecha].[Semana].&amp;[9]" c="9" nd="1"/>
              <i n="[Dim Fecha].[Semana].&amp;[10]" c="10" nd="1"/>
              <i n="[Dim Fecha].[Semana].&amp;[11]" c="11" nd="1"/>
              <i n="[Dim Fecha].[Semana].&amp;[12]" c="12" nd="1"/>
              <i n="[Dim Fecha].[Semana].&amp;[13]" c="13" nd="1"/>
              <i n="[Dim Fecha].[Semana].&amp;[14]" c="14" nd="1"/>
              <i n="[Dim Fecha].[Semana].&amp;[15]" c="15" nd="1"/>
              <i n="[Dim Fecha].[Semana].&amp;[16]" c="16" nd="1"/>
              <i n="[Dim Fecha].[Semana].&amp;[17]" c="17" nd="1"/>
              <i n="[Dim Fecha].[Semana].&amp;[19]" c="19" nd="1"/>
              <i n="[Dim Fecha].[Semana].&amp;[20]" c="20" nd="1"/>
              <i n="[Dim Fecha].[Semana].&amp;[21]" c="21" nd="1"/>
              <i n="[Dim Fecha].[Semana].&amp;[32]" c="32" nd="1"/>
              <i n="[Dim Fecha].[Semana].&amp;[33]" c="33" nd="1"/>
              <i n="[Dim Fecha].[Semana].&amp;[34]" c="34" nd="1"/>
              <i n="[Dim Fecha].[Semana].&amp;[35]" c="35" nd="1"/>
              <i n="[Dim Fecha].[Semana].&amp;[36]" c="36" nd="1"/>
              <i n="[Dim Fecha].[Semana].&amp;[37]" c="37" nd="1"/>
              <i n="[Dim Fecha].[Semana].&amp;[38]" c="38" nd="1"/>
              <i n="[Dim Fecha].[Semana].&amp;[39]" c="39" nd="1"/>
              <i n="[Dim Fecha].[Semana].&amp;[40]" c="40" nd="1"/>
              <i n="[Dim Fecha].[Semana].&amp;[41]" c="41" nd="1"/>
              <i n="[Dim Fecha].[Semana].&amp;[42]" c="42" nd="1"/>
              <i n="[Dim Fecha].[Semana].&amp;[43]" c="43" nd="1"/>
              <i n="[Dim Fecha].[Semana].&amp;[44]" c="44" nd="1"/>
              <i n="[Dim Fecha].[Semana].&amp;[45]" c="45" nd="1"/>
              <i n="[Dim Fecha].[Semana].&amp;[46]" c="46" nd="1"/>
              <i n="[Dim Fecha].[Semana].&amp;[47]" c="47" nd="1"/>
              <i n="[Dim Fecha].[Semana].&amp;[48]" c="48" nd="1"/>
              <i n="[Dim Fecha].[Semana].&amp;[49]" c="49" nd="1"/>
              <i n="[Dim Fecha].[Semana].&amp;[50]" c="50" nd="1"/>
              <i n="[Dim Fecha].[Semana].&amp;[51]" c="51" nd="1"/>
              <i n="[Dim Fecha].[Semana].&amp;[52]" c="52" nd="1"/>
              <i n="[Dim Fecha].[Semana].&amp;[53]" c="53" nd="1"/>
              <i n="[Dim Fecha].[Semana].[All].UNKNOWNMEMBER" c="Unknown" nd="1"/>
            </range>
          </ranges>
        </level>
      </levels>
      <selections count="1">
        <selection n="[Dim Fecha].[Seman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 Fecha].[Semana].[Semana]" count="43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FB269E37-39C8-45C5-8553-A41439B26CBC}" sourceName="[Dim Productos].[Categoria]">
  <pivotTables>
    <pivotTable tabId="1" name="TablaDinámica1"/>
    <pivotTable tabId="1" name="TablaDinámica4"/>
    <pivotTable tabId="1" name="TablaDinámica5"/>
    <pivotTable tabId="1" name="TablaDinámica6"/>
    <pivotTable tabId="1" name="TablaDinámica7"/>
  </pivotTables>
  <data>
    <olap pivotCacheId="1119787207">
      <levels count="2">
        <level uniqueName="[Dim Productos].[Categoria].[(All)]" sourceCaption="(All)" count="0"/>
        <level uniqueName="[Dim Productos].[Categoria].[Categoria]" sourceCaption="Categoria" count="7">
          <ranges>
            <range startItem="0">
              <i n="[Dim Productos].[Categoria].&amp;[Accesorios]" c="Accesorios"/>
              <i n="[Dim Productos].[Categoria].&amp;[Bicicletas]" c="Bicicletas"/>
              <i n="[Dim Productos].[Categoria].&amp;[Componentes]" c="Componentes"/>
              <i n="[Dim Productos].[Categoria].&amp;[Herramientas]" c="Herramientas"/>
              <i n="[Dim Productos].[Categoria].&amp;[Squirt Cycling]" c="Squirt Cycling"/>
              <i n="[Dim Productos].[Categoria].&amp;[Vestimenta]" c="Vestimenta"/>
              <i n="[Dim Productos].[Categoria].[All].UNKNOWNMEMBER" c="Unknown" nd="1"/>
            </range>
          </ranges>
        </level>
      </levels>
      <selections count="1">
        <selection n="[Dim Productos].[Categori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 Productos].[Categoria].[Categoria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CE6E9272-02F3-4B90-B5DA-898EA8662F92}" cache="SegmentaciónDeDatos_Vendedor" caption="Vendedor" level="1" rowHeight="241300"/>
  <slicer name="Mes" xr10:uid="{4B75945C-087D-4D81-8E8F-3E58C3D98D8C}" cache="SegmentaciónDeDatos_Mes" caption="Mes" columnCount="3" level="1" rowHeight="216000"/>
  <slicer name="Semana" xr10:uid="{68707390-54AB-47D2-8B5F-2D9AFD08F2E6}" cache="SegmentaciónDeDatos_Semana" caption="Semana" columnCount="5" level="1" rowHeight="241300"/>
  <slicer name="Categoria" xr10:uid="{088DCCD5-76D4-4707-A134-D0E4844C94C2}" cache="SegmentaciónDeDatos_Categoria" caption="Categoria" level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EDFF-4A07-4802-AAE3-4EF9A14E97A7}">
  <dimension ref="A1:E26"/>
  <sheetViews>
    <sheetView topLeftCell="A13" workbookViewId="0">
      <selection activeCell="A25" sqref="A25"/>
    </sheetView>
  </sheetViews>
  <sheetFormatPr baseColWidth="10" defaultRowHeight="15" x14ac:dyDescent="0.25"/>
  <cols>
    <col min="1" max="1" width="11.85546875" bestFit="1" customWidth="1"/>
    <col min="2" max="2" width="16.5703125" bestFit="1" customWidth="1"/>
    <col min="4" max="4" width="17.5703125" bestFit="1" customWidth="1"/>
    <col min="5" max="5" width="11.85546875" bestFit="1" customWidth="1"/>
  </cols>
  <sheetData>
    <row r="1" spans="1:5" x14ac:dyDescent="0.25">
      <c r="A1" s="2" t="s">
        <v>1</v>
      </c>
      <c r="B1" t="s">
        <v>0</v>
      </c>
      <c r="D1" s="2" t="s">
        <v>1</v>
      </c>
      <c r="E1" t="s">
        <v>0</v>
      </c>
    </row>
    <row r="2" spans="1:5" x14ac:dyDescent="0.25">
      <c r="A2" s="3" t="s">
        <v>6</v>
      </c>
      <c r="B2" s="1">
        <v>4243.9000000000005</v>
      </c>
      <c r="D2" s="3" t="s">
        <v>3</v>
      </c>
      <c r="E2" s="5">
        <v>1701</v>
      </c>
    </row>
    <row r="3" spans="1:5" x14ac:dyDescent="0.25">
      <c r="A3" s="3" t="s">
        <v>7</v>
      </c>
      <c r="B3" s="1">
        <v>1104.0999999999999</v>
      </c>
      <c r="D3" s="3" t="s">
        <v>4</v>
      </c>
      <c r="E3" s="5">
        <v>18710.400000000001</v>
      </c>
    </row>
    <row r="4" spans="1:5" x14ac:dyDescent="0.25">
      <c r="A4" s="3" t="s">
        <v>8</v>
      </c>
      <c r="B4" s="1">
        <v>14220.7</v>
      </c>
      <c r="D4" s="3" t="s">
        <v>5</v>
      </c>
      <c r="E4" s="5">
        <v>26172.799999999999</v>
      </c>
    </row>
    <row r="5" spans="1:5" x14ac:dyDescent="0.25">
      <c r="A5" s="3" t="s">
        <v>9</v>
      </c>
      <c r="B5" s="1">
        <v>1694.1</v>
      </c>
      <c r="D5" s="3" t="s">
        <v>2</v>
      </c>
      <c r="E5" s="5">
        <v>46584.200000000012</v>
      </c>
    </row>
    <row r="6" spans="1:5" x14ac:dyDescent="0.25">
      <c r="A6" s="3" t="s">
        <v>10</v>
      </c>
      <c r="B6" s="1">
        <v>5999.4</v>
      </c>
    </row>
    <row r="7" spans="1:5" x14ac:dyDescent="0.25">
      <c r="A7" s="3" t="s">
        <v>11</v>
      </c>
      <c r="B7" s="1">
        <v>1534.7</v>
      </c>
    </row>
    <row r="8" spans="1:5" x14ac:dyDescent="0.25">
      <c r="A8" s="3" t="s">
        <v>12</v>
      </c>
      <c r="B8" s="1">
        <v>2089.1999999999998</v>
      </c>
    </row>
    <row r="9" spans="1:5" x14ac:dyDescent="0.25">
      <c r="A9" s="3" t="s">
        <v>13</v>
      </c>
      <c r="B9" s="1">
        <v>1484.4</v>
      </c>
    </row>
    <row r="10" spans="1:5" x14ac:dyDescent="0.25">
      <c r="A10" s="3" t="s">
        <v>14</v>
      </c>
      <c r="B10" s="1">
        <v>1759.5</v>
      </c>
    </row>
    <row r="11" spans="1:5" x14ac:dyDescent="0.25">
      <c r="A11" s="3" t="s">
        <v>15</v>
      </c>
      <c r="B11" s="1">
        <v>12454.2</v>
      </c>
    </row>
    <row r="12" spans="1:5" x14ac:dyDescent="0.25">
      <c r="A12" s="3" t="s">
        <v>2</v>
      </c>
      <c r="B12" s="1">
        <v>46584.200000000012</v>
      </c>
    </row>
    <row r="15" spans="1:5" x14ac:dyDescent="0.25">
      <c r="A15" s="2" t="s">
        <v>1</v>
      </c>
      <c r="B15" t="s">
        <v>0</v>
      </c>
      <c r="D15" s="2" t="s">
        <v>1</v>
      </c>
      <c r="E15" t="s">
        <v>0</v>
      </c>
    </row>
    <row r="16" spans="1:5" x14ac:dyDescent="0.25">
      <c r="A16" s="3" t="s">
        <v>16</v>
      </c>
      <c r="B16" s="5">
        <v>4100</v>
      </c>
      <c r="D16" s="3" t="s">
        <v>18</v>
      </c>
      <c r="E16" s="5">
        <v>11699.7</v>
      </c>
    </row>
    <row r="17" spans="1:5" x14ac:dyDescent="0.25">
      <c r="A17" s="3" t="s">
        <v>17</v>
      </c>
      <c r="B17" s="5">
        <v>9000</v>
      </c>
      <c r="D17" s="3" t="s">
        <v>19</v>
      </c>
      <c r="E17" s="5">
        <v>9000</v>
      </c>
    </row>
    <row r="18" spans="1:5" x14ac:dyDescent="0.25">
      <c r="A18" s="3" t="s">
        <v>17</v>
      </c>
      <c r="B18" s="5">
        <v>11699.7</v>
      </c>
      <c r="D18" s="3" t="s">
        <v>20</v>
      </c>
      <c r="E18" s="5">
        <v>4100</v>
      </c>
    </row>
    <row r="19" spans="1:5" x14ac:dyDescent="0.25">
      <c r="A19" s="3" t="s">
        <v>2</v>
      </c>
      <c r="B19" s="5">
        <v>24799.7</v>
      </c>
      <c r="D19" s="3" t="s">
        <v>2</v>
      </c>
      <c r="E19" s="5">
        <v>24799.7</v>
      </c>
    </row>
    <row r="25" spans="1:5" x14ac:dyDescent="0.25">
      <c r="A25" t="s">
        <v>0</v>
      </c>
      <c r="B25" t="s">
        <v>21</v>
      </c>
    </row>
    <row r="26" spans="1:5" x14ac:dyDescent="0.25">
      <c r="A26" s="5">
        <v>46584.200000000012</v>
      </c>
      <c r="B26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A3D8-9403-4BD5-BD7B-7F3D7985F26D}">
  <sheetPr>
    <pageSetUpPr autoPageBreaks="0"/>
  </sheetPr>
  <dimension ref="A1"/>
  <sheetViews>
    <sheetView showGridLines="0" tabSelected="1" topLeftCell="A3" zoomScale="85" zoomScaleNormal="85" workbookViewId="0">
      <selection activeCell="R10" sqref="R10"/>
    </sheetView>
  </sheetViews>
  <sheetFormatPr baseColWidth="10" defaultRowHeight="15" x14ac:dyDescent="0.25"/>
  <cols>
    <col min="1" max="16384" width="11.42578125" style="4"/>
  </cols>
  <sheetData/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Arcenio Bravo Sánchez</dc:creator>
  <cp:lastModifiedBy>Rider Arcenio Bravo Sánchez</cp:lastModifiedBy>
  <cp:lastPrinted>2025-06-28T03:24:50Z</cp:lastPrinted>
  <dcterms:created xsi:type="dcterms:W3CDTF">2025-06-27T23:03:37Z</dcterms:created>
  <dcterms:modified xsi:type="dcterms:W3CDTF">2025-06-28T03:32:01Z</dcterms:modified>
</cp:coreProperties>
</file>